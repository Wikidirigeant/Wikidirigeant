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Lisez-moi" sheetId="1" state="visible" r:id="rId1"/>
    <sheet xmlns:r="http://schemas.openxmlformats.org/officeDocument/2006/relationships" name="Bilan" sheetId="2" state="visible" r:id="rId2"/>
    <sheet xmlns:r="http://schemas.openxmlformats.org/officeDocument/2006/relationships" name="Charges" sheetId="3" state="visible" r:id="rId3"/>
    <sheet xmlns:r="http://schemas.openxmlformats.org/officeDocument/2006/relationships" name="Rubriques Charges" sheetId="4" state="visible" r:id="rId4"/>
    <sheet xmlns:r="http://schemas.openxmlformats.org/officeDocument/2006/relationships" name="Produits" sheetId="5" state="visible" r:id="rId5"/>
    <sheet xmlns:r="http://schemas.openxmlformats.org/officeDocument/2006/relationships" name="Rubrique Produits" sheetId="6" state="visible" r:id="rId6"/>
    <sheet xmlns:r="http://schemas.openxmlformats.org/officeDocument/2006/relationships" name="Liste" sheetId="7" state="visible" r:id="rId7"/>
  </sheets>
  <externalReferences>
    <externalReference xmlns:r="http://schemas.openxmlformats.org/officeDocument/2006/relationships" r:id="rId8"/>
  </externalReferences>
  <definedNames>
    <definedName name="Rubriques_Charges">Liste!$A$30:$A$36</definedName>
    <definedName name="Rubriques_Produit">Liste!$A$1:$A$9</definedName>
    <definedName name="Type">Liste!$C$1:$C$12</definedName>
    <definedName name="Rubriques_Charges" localSheetId="0">[1]Liste!$A$30:$A$36</definedName>
    <definedName name="Rubriques_Produit" localSheetId="0">[1]Liste!$A$1:$A$9</definedName>
    <definedName name="Type" localSheetId="0">[1]Liste!$C$1:$C$12</definedName>
    <definedName name="_xlnm._FilterDatabase" localSheetId="2" hidden="1">'Charges'!$A$1:$M$1045</definedName>
    <definedName name="_xlnm._FilterDatabase" localSheetId="3" hidden="1">'Rubriques Charges'!$A$1:$A$8</definedName>
    <definedName name="_xlnm._FilterDatabase" localSheetId="4" hidden="1">'Produits'!$A$1:$M$1027</definedName>
  </definedNames>
  <calcPr calcId="191029" fullCalcOnLoad="1"/>
</workbook>
</file>

<file path=xl/styles.xml><?xml version="1.0" encoding="utf-8"?>
<styleSheet xmlns="http://schemas.openxmlformats.org/spreadsheetml/2006/main">
  <numFmts count="2">
    <numFmt numFmtId="164" formatCode="#,##0.00\ &quot;€&quot;"/>
    <numFmt numFmtId="165" formatCode="_-* #,##0.00\ &quot;€&quot;_-;\-* #,##0.00\ &quot;€&quot;_-;_-* &quot;-&quot;??\ &quot;€&quot;_-;_-@_-"/>
  </numFmts>
  <fonts count="14">
    <font>
      <name val="Calibri"/>
      <family val="2"/>
      <color theme="1"/>
      <sz val="11"/>
      <scheme val="minor"/>
    </font>
    <font>
      <name val="Times New Roman"/>
      <family val="1"/>
      <color theme="1"/>
      <sz val="11"/>
    </font>
    <font>
      <name val="Times New Roman"/>
      <family val="1"/>
      <b val="1"/>
      <color theme="1"/>
      <sz val="14"/>
    </font>
    <font>
      <name val="Times New Roman"/>
      <family val="1"/>
      <b val="1"/>
      <color theme="1"/>
      <sz val="11"/>
    </font>
    <font>
      <name val="Arial"/>
      <family val="2"/>
      <color rgb="FF000099"/>
      <sz val="10"/>
    </font>
    <font>
      <name val="Arial"/>
      <family val="2"/>
      <b val="1"/>
      <color rgb="FF000099"/>
      <sz val="18"/>
    </font>
    <font>
      <name val="Arial"/>
      <family val="2"/>
      <b val="1"/>
      <color rgb="FF000099"/>
      <sz val="10"/>
    </font>
    <font>
      <name val="Calibri"/>
      <family val="2"/>
      <color theme="10"/>
      <sz val="11"/>
      <u val="single"/>
      <scheme val="minor"/>
    </font>
    <font>
      <name val="Calibri"/>
      <family val="2"/>
      <color theme="1"/>
      <sz val="11"/>
      <scheme val="minor"/>
    </font>
    <font>
      <name val="Calibri"/>
      <family val="2"/>
      <color theme="11"/>
      <sz val="11"/>
      <u val="single"/>
      <scheme val="minor"/>
    </font>
    <font>
      <name val="Arial"/>
      <color rgb="FF213143"/>
      <sz val="11"/>
    </font>
    <font>
      <name val="Calibri"/>
      <family val="2"/>
      <sz val="8"/>
      <scheme val="minor"/>
    </font>
    <font>
      <name val="Calibri"/>
      <family val="2"/>
      <b val="1"/>
      <color theme="1"/>
      <sz val="11"/>
      <scheme val="minor"/>
    </font>
    <font>
      <name val="Times New Roman"/>
      <family val="1"/>
      <b val="1"/>
      <color theme="1"/>
      <sz val="18"/>
    </font>
  </fonts>
  <fills count="8">
    <fill>
      <patternFill/>
    </fill>
    <fill>
      <patternFill patternType="gray125"/>
    </fill>
    <fill>
      <patternFill patternType="solid">
        <fgColor rgb="FFFFFFFF"/>
        <bgColor indexed="64"/>
      </patternFill>
    </fill>
    <fill>
      <patternFill patternType="solid">
        <fgColor rgb="FF92D050"/>
        <bgColor indexed="64"/>
      </patternFill>
    </fill>
    <fill>
      <patternFill patternType="solid">
        <fgColor theme="8" tint="0.3999755851924192"/>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s>
  <borders count="5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diagonal/>
    </border>
    <border>
      <left/>
      <right style="thin">
        <color auto="1"/>
      </right>
      <top/>
      <bottom/>
      <diagonal/>
    </border>
    <border>
      <left/>
      <right style="thin">
        <color auto="1"/>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medium">
        <color auto="1"/>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medium">
        <color auto="1"/>
      </right>
      <top style="medium">
        <color auto="1"/>
      </top>
      <bottom/>
      <diagonal/>
    </border>
    <border>
      <left style="thin">
        <color auto="1"/>
      </left>
      <right style="thin">
        <color auto="1"/>
      </right>
      <top/>
      <bottom/>
      <diagonal/>
    </border>
    <border>
      <left style="thin">
        <color auto="1"/>
      </left>
      <right style="medium">
        <color auto="1"/>
      </right>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top style="medium">
        <color auto="1"/>
      </top>
      <bottom style="medium">
        <color auto="1"/>
      </bottom>
      <diagonal/>
    </border>
    <border>
      <left style="thin">
        <color auto="1"/>
      </left>
      <right/>
      <top/>
      <bottom/>
      <diagonal/>
    </border>
    <border>
      <left/>
      <right/>
      <top/>
      <bottom style="medium">
        <color auto="1"/>
      </bottom>
      <diagonal/>
    </border>
    <border>
      <left/>
      <right/>
      <top/>
      <bottom style="thin">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thin">
        <color auto="1"/>
      </bottom>
      <diagonal/>
    </border>
    <border>
      <left/>
      <right/>
      <top style="thin">
        <color indexed="64"/>
      </top>
      <bottom/>
      <diagonal/>
    </border>
    <border>
      <left/>
      <right/>
      <top style="thin">
        <color indexed="64"/>
      </top>
      <bottom style="thin">
        <color indexed="64"/>
      </bottom>
      <diagonal/>
    </border>
    <border>
      <left/>
      <right/>
      <top style="medium">
        <color auto="1"/>
      </top>
      <bottom/>
      <diagonal/>
    </border>
  </borders>
  <cellStyleXfs count="4">
    <xf numFmtId="0" fontId="8" fillId="0" borderId="0"/>
    <xf numFmtId="0" fontId="7" fillId="0" borderId="0"/>
    <xf numFmtId="44" fontId="8" fillId="0" borderId="0"/>
    <xf numFmtId="0" fontId="9" fillId="0" borderId="0"/>
  </cellStyleXfs>
  <cellXfs count="173">
    <xf numFmtId="0" fontId="0" fillId="0" borderId="0" pivotButton="0" quotePrefix="0" xfId="0"/>
    <xf numFmtId="0" fontId="1" fillId="0" borderId="0" pivotButton="0" quotePrefix="0" xfId="0"/>
    <xf numFmtId="0" fontId="1" fillId="0" borderId="10" pivotButton="0" quotePrefix="0" xfId="0"/>
    <xf numFmtId="0" fontId="1" fillId="0" borderId="18" pivotButton="0" quotePrefix="0" xfId="0"/>
    <xf numFmtId="0" fontId="1" fillId="0" borderId="11" pivotButton="0" quotePrefix="0" xfId="0"/>
    <xf numFmtId="0" fontId="1" fillId="0" borderId="23" pivotButton="0" quotePrefix="0" xfId="0"/>
    <xf numFmtId="0" fontId="1" fillId="0" borderId="21" pivotButton="0" quotePrefix="0" xfId="0"/>
    <xf numFmtId="0" fontId="1" fillId="0" borderId="20" pivotButton="0" quotePrefix="0" xfId="0"/>
    <xf numFmtId="0" fontId="1" fillId="0" borderId="26" pivotButton="0" quotePrefix="0" xfId="0"/>
    <xf numFmtId="0" fontId="1" fillId="0" borderId="27" pivotButton="0" quotePrefix="0" xfId="0"/>
    <xf numFmtId="0" fontId="1" fillId="0" borderId="28" pivotButton="0" quotePrefix="0" xfId="0"/>
    <xf numFmtId="0" fontId="1" fillId="0" borderId="1" pivotButton="0" quotePrefix="0" xfId="0"/>
    <xf numFmtId="0" fontId="1" fillId="0" borderId="9" applyAlignment="1" pivotButton="0" quotePrefix="0" xfId="0">
      <alignment horizontal="center" vertical="center" wrapText="1"/>
    </xf>
    <xf numFmtId="0" fontId="1" fillId="0" borderId="11" applyAlignment="1" pivotButton="0" quotePrefix="0" xfId="0">
      <alignment horizontal="center" vertical="center" wrapText="1"/>
    </xf>
    <xf numFmtId="0" fontId="1" fillId="0" borderId="3" applyAlignment="1" pivotButton="0" quotePrefix="0" xfId="0">
      <alignment vertical="center" wrapText="1"/>
    </xf>
    <xf numFmtId="0" fontId="1" fillId="0" borderId="32" applyAlignment="1" pivotButton="0" quotePrefix="0" xfId="0">
      <alignment vertical="center" wrapText="1"/>
    </xf>
    <xf numFmtId="0" fontId="1" fillId="0" borderId="10" applyAlignment="1" pivotButton="0" quotePrefix="0" xfId="0">
      <alignment horizontal="center" vertical="center" wrapText="1"/>
    </xf>
    <xf numFmtId="0" fontId="4" fillId="0" borderId="0" applyAlignment="1" pivotButton="0" quotePrefix="0" xfId="0">
      <alignment vertical="center" wrapText="1"/>
    </xf>
    <xf numFmtId="0" fontId="7" fillId="0" borderId="0" pivotButton="0" quotePrefix="0" xfId="1"/>
    <xf numFmtId="0" fontId="7" fillId="0" borderId="0" applyAlignment="1" pivotButton="0" quotePrefix="0" xfId="1">
      <alignment vertical="center" wrapText="1"/>
    </xf>
    <xf numFmtId="0" fontId="4" fillId="0" borderId="0" applyAlignment="1" pivotButton="0" quotePrefix="0" xfId="0">
      <alignment horizontal="left" vertical="center" wrapText="1" indent="1"/>
    </xf>
    <xf numFmtId="0" fontId="7" fillId="0" borderId="0" applyAlignment="1" pivotButton="0" quotePrefix="0" xfId="1">
      <alignment horizontal="left" vertical="center" wrapText="1" indent="1"/>
    </xf>
    <xf numFmtId="0" fontId="5" fillId="2" borderId="0" applyAlignment="1" pivotButton="0" quotePrefix="0" xfId="0">
      <alignment vertical="center" wrapText="1"/>
    </xf>
    <xf numFmtId="0" fontId="6" fillId="0" borderId="0" applyAlignment="1" pivotButton="0" quotePrefix="0" xfId="0">
      <alignment horizontal="left" vertical="center" wrapText="1" indent="1"/>
    </xf>
    <xf numFmtId="0" fontId="3" fillId="0" borderId="1" pivotButton="0" quotePrefix="0" xfId="0"/>
    <xf numFmtId="0" fontId="3" fillId="0" borderId="28" pivotButton="0" quotePrefix="0" xfId="0"/>
    <xf numFmtId="164" fontId="3" fillId="3" borderId="1" pivotButton="0" quotePrefix="0" xfId="0"/>
    <xf numFmtId="164" fontId="1" fillId="0" borderId="31" pivotButton="0" quotePrefix="0" xfId="0"/>
    <xf numFmtId="164" fontId="1" fillId="0" borderId="27" pivotButton="0" quotePrefix="0" xfId="0"/>
    <xf numFmtId="164" fontId="1" fillId="0" borderId="1" pivotButton="0" quotePrefix="0" xfId="0"/>
    <xf numFmtId="0" fontId="1" fillId="0" borderId="9" pivotButton="0" quotePrefix="0" xfId="0"/>
    <xf numFmtId="0" fontId="1" fillId="0" borderId="7" applyAlignment="1" pivotButton="0" quotePrefix="0" xfId="0">
      <alignment vertical="center" wrapText="1"/>
    </xf>
    <xf numFmtId="164" fontId="1" fillId="0" borderId="8" pivotButton="0" quotePrefix="0" xfId="0"/>
    <xf numFmtId="0" fontId="1" fillId="0" borderId="39" pivotButton="0" quotePrefix="0" xfId="0"/>
    <xf numFmtId="0" fontId="1" fillId="0" borderId="40" pivotButton="0" quotePrefix="0" xfId="0"/>
    <xf numFmtId="0" fontId="1" fillId="0" borderId="18" applyAlignment="1" pivotButton="0" quotePrefix="0" xfId="0">
      <alignment wrapText="1"/>
    </xf>
    <xf numFmtId="0" fontId="3" fillId="0" borderId="0" pivotButton="0" quotePrefix="0" xfId="0"/>
    <xf numFmtId="164" fontId="1" fillId="0" borderId="19" pivotButton="0" quotePrefix="0" xfId="0"/>
    <xf numFmtId="164" fontId="1" fillId="0" borderId="12" pivotButton="0" quotePrefix="0" xfId="0"/>
    <xf numFmtId="0" fontId="1" fillId="0" borderId="41" pivotButton="0" quotePrefix="0" xfId="0"/>
    <xf numFmtId="165" fontId="3" fillId="0" borderId="1" applyAlignment="1" pivotButton="0" quotePrefix="0" xfId="2">
      <alignment horizontal="center"/>
    </xf>
    <xf numFmtId="164" fontId="1" fillId="4" borderId="1" pivotButton="0" quotePrefix="0" xfId="2"/>
    <xf numFmtId="164" fontId="3" fillId="5" borderId="1" pivotButton="0" quotePrefix="0" xfId="0"/>
    <xf numFmtId="164" fontId="1" fillId="0" borderId="1" applyProtection="1" pivotButton="0" quotePrefix="0" xfId="0">
      <protection locked="0" hidden="0"/>
    </xf>
    <xf numFmtId="164" fontId="1" fillId="0" borderId="19" applyProtection="1" pivotButton="0" quotePrefix="0" xfId="0">
      <protection locked="0" hidden="0"/>
    </xf>
    <xf numFmtId="164" fontId="1" fillId="0" borderId="12" applyProtection="1" pivotButton="0" quotePrefix="0" xfId="0">
      <protection locked="0" hidden="0"/>
    </xf>
    <xf numFmtId="164" fontId="1" fillId="0" borderId="24" applyProtection="1" pivotButton="0" quotePrefix="0" xfId="0">
      <protection locked="0" hidden="0"/>
    </xf>
    <xf numFmtId="164" fontId="1" fillId="0" borderId="29" applyProtection="1" pivotButton="0" quotePrefix="0" xfId="0">
      <protection locked="0" hidden="0"/>
    </xf>
    <xf numFmtId="164" fontId="1" fillId="0" borderId="22" applyProtection="1" pivotButton="0" quotePrefix="0" xfId="0">
      <protection locked="0" hidden="0"/>
    </xf>
    <xf numFmtId="164" fontId="1" fillId="0" borderId="15" applyProtection="1" pivotButton="0" quotePrefix="0" xfId="0">
      <protection locked="0" hidden="0"/>
    </xf>
    <xf numFmtId="164" fontId="1" fillId="0" borderId="25" applyProtection="1" pivotButton="0" quotePrefix="0" xfId="0">
      <protection locked="0" hidden="0"/>
    </xf>
    <xf numFmtId="164" fontId="1" fillId="0" borderId="30" applyProtection="1" pivotButton="0" quotePrefix="0" xfId="0">
      <protection locked="0" hidden="0"/>
    </xf>
    <xf numFmtId="0" fontId="3" fillId="0" borderId="32" pivotButton="0" quotePrefix="0" xfId="0"/>
    <xf numFmtId="164" fontId="1" fillId="0" borderId="33" applyProtection="1" pivotButton="0" quotePrefix="0" xfId="0">
      <protection locked="0" hidden="0"/>
    </xf>
    <xf numFmtId="164" fontId="1" fillId="0" borderId="13" pivotButton="0" quotePrefix="0" xfId="0"/>
    <xf numFmtId="164" fontId="3" fillId="5" borderId="32" pivotButton="0" quotePrefix="0" xfId="0"/>
    <xf numFmtId="164" fontId="1" fillId="0" borderId="16" pivotButton="0" quotePrefix="0" xfId="0"/>
    <xf numFmtId="0" fontId="0" fillId="0" borderId="8" pivotButton="0" quotePrefix="0" xfId="0"/>
    <xf numFmtId="0" fontId="0" fillId="0" borderId="42" pivotButton="0" quotePrefix="0" xfId="0"/>
    <xf numFmtId="0" fontId="0" fillId="0" borderId="21" pivotButton="0" quotePrefix="0" xfId="0"/>
    <xf numFmtId="0" fontId="0" fillId="0" borderId="41" pivotButton="0" quotePrefix="0" xfId="0"/>
    <xf numFmtId="0" fontId="0" fillId="0" borderId="18" pivotButton="0" quotePrefix="0" xfId="0"/>
    <xf numFmtId="0" fontId="0" fillId="0" borderId="0" applyProtection="1" pivotButton="0" quotePrefix="0" xfId="0">
      <protection locked="0" hidden="0"/>
    </xf>
    <xf numFmtId="0" fontId="0" fillId="0" borderId="31" applyProtection="1" pivotButton="0" quotePrefix="0" xfId="0">
      <protection locked="0" hidden="0"/>
    </xf>
    <xf numFmtId="0" fontId="0" fillId="0" borderId="29" applyProtection="1" pivotButton="0" quotePrefix="0" xfId="0">
      <protection locked="0" hidden="0"/>
    </xf>
    <xf numFmtId="0" fontId="0" fillId="0" borderId="43" applyProtection="1" pivotButton="0" quotePrefix="0" xfId="0">
      <protection locked="0" hidden="0"/>
    </xf>
    <xf numFmtId="0" fontId="0" fillId="0" borderId="1" applyProtection="1" pivotButton="0" quotePrefix="0" xfId="0">
      <protection locked="0" hidden="0"/>
    </xf>
    <xf numFmtId="164" fontId="0" fillId="0" borderId="28" applyProtection="1" pivotButton="0" quotePrefix="0" xfId="0">
      <protection locked="0" hidden="0"/>
    </xf>
    <xf numFmtId="14" fontId="0" fillId="0" borderId="0" applyAlignment="1" applyProtection="1" pivotButton="0" quotePrefix="0" xfId="0">
      <alignment horizontal="center"/>
      <protection locked="0" hidden="0"/>
    </xf>
    <xf numFmtId="0" fontId="0" fillId="0" borderId="18" applyProtection="1" pivotButton="0" quotePrefix="0" xfId="0">
      <protection locked="0" hidden="0"/>
    </xf>
    <xf numFmtId="14" fontId="0" fillId="0" borderId="12" applyProtection="1" pivotButton="0" quotePrefix="0" xfId="0">
      <protection locked="0" hidden="0"/>
    </xf>
    <xf numFmtId="0" fontId="0" fillId="0" borderId="19" applyProtection="1" pivotButton="0" quotePrefix="0" xfId="0">
      <protection locked="0" hidden="0"/>
    </xf>
    <xf numFmtId="0" fontId="0" fillId="0" borderId="12" applyProtection="1" pivotButton="0" quotePrefix="0" xfId="0">
      <protection locked="0" hidden="0"/>
    </xf>
    <xf numFmtId="164" fontId="0" fillId="0" borderId="15" applyProtection="1" pivotButton="0" quotePrefix="0" xfId="0">
      <protection locked="0" hidden="0"/>
    </xf>
    <xf numFmtId="0" fontId="0" fillId="0" borderId="44" applyAlignment="1" applyProtection="1" pivotButton="0" quotePrefix="0" xfId="0">
      <alignment horizontal="center"/>
      <protection locked="0" hidden="0"/>
    </xf>
    <xf numFmtId="0" fontId="0" fillId="0" borderId="21" applyProtection="1" pivotButton="0" quotePrefix="0" xfId="0">
      <protection locked="0" hidden="0"/>
    </xf>
    <xf numFmtId="14" fontId="0" fillId="0" borderId="19" applyProtection="1" pivotButton="0" quotePrefix="0" xfId="0">
      <protection locked="0" hidden="0"/>
    </xf>
    <xf numFmtId="0" fontId="0" fillId="0" borderId="0" applyAlignment="1" applyProtection="1" pivotButton="0" quotePrefix="0" xfId="0">
      <alignment horizontal="center"/>
      <protection locked="0" hidden="0"/>
    </xf>
    <xf numFmtId="0" fontId="10" fillId="0" borderId="21" applyProtection="1" pivotButton="0" quotePrefix="0" xfId="0">
      <protection locked="0" hidden="0"/>
    </xf>
    <xf numFmtId="164" fontId="0" fillId="0" borderId="22" applyProtection="1" pivotButton="0" quotePrefix="0" xfId="0">
      <protection locked="0" hidden="0"/>
    </xf>
    <xf numFmtId="0" fontId="13" fillId="0" borderId="0" pivotButton="0" quotePrefix="0" xfId="0"/>
    <xf numFmtId="0" fontId="1" fillId="5" borderId="4" applyAlignment="1" pivotButton="0" quotePrefix="0" xfId="0">
      <alignment horizontal="center" vertical="center"/>
    </xf>
    <xf numFmtId="0" fontId="1" fillId="5" borderId="2" applyAlignment="1" pivotButton="0" quotePrefix="0" xfId="0">
      <alignment horizontal="center" vertical="center"/>
    </xf>
    <xf numFmtId="0" fontId="1" fillId="5" borderId="6" applyAlignment="1" pivotButton="0" quotePrefix="0" xfId="0">
      <alignment horizontal="center" vertical="center"/>
    </xf>
    <xf numFmtId="164" fontId="1" fillId="0" borderId="14" applyProtection="1" pivotButton="0" quotePrefix="0" xfId="0">
      <protection locked="0" hidden="0"/>
    </xf>
    <xf numFmtId="164" fontId="1" fillId="0" borderId="17" applyProtection="1" pivotButton="0" quotePrefix="0" xfId="0">
      <protection locked="0" hidden="0"/>
    </xf>
    <xf numFmtId="164" fontId="1" fillId="0" borderId="34" applyProtection="1" pivotButton="0" quotePrefix="0" xfId="0">
      <protection locked="0" hidden="0"/>
    </xf>
    <xf numFmtId="164" fontId="1" fillId="0" borderId="33" pivotButton="0" quotePrefix="0" xfId="0"/>
    <xf numFmtId="164" fontId="1" fillId="0" borderId="35" applyProtection="1" pivotButton="0" quotePrefix="0" xfId="0">
      <protection locked="0" hidden="0"/>
    </xf>
    <xf numFmtId="164" fontId="1" fillId="0" borderId="35" pivotButton="0" quotePrefix="0" xfId="0"/>
    <xf numFmtId="164" fontId="1" fillId="0" borderId="36" applyProtection="1" pivotButton="0" quotePrefix="0" xfId="0">
      <protection locked="0" hidden="0"/>
    </xf>
    <xf numFmtId="164" fontId="1" fillId="0" borderId="37" applyProtection="1" pivotButton="0" quotePrefix="0" xfId="0">
      <protection locked="0" hidden="0"/>
    </xf>
    <xf numFmtId="164" fontId="1" fillId="0" borderId="37" pivotButton="0" quotePrefix="0" xfId="0"/>
    <xf numFmtId="164" fontId="1" fillId="0" borderId="38" applyProtection="1" pivotButton="0" quotePrefix="0" xfId="0">
      <protection locked="0" hidden="0"/>
    </xf>
    <xf numFmtId="164" fontId="1" fillId="0" borderId="13" applyProtection="1" pivotButton="0" quotePrefix="0" xfId="0">
      <protection locked="0" hidden="0"/>
    </xf>
    <xf numFmtId="0" fontId="0" fillId="6" borderId="0" pivotButton="0" quotePrefix="0" xfId="0"/>
    <xf numFmtId="0" fontId="12" fillId="3" borderId="0" pivotButton="0" quotePrefix="0" xfId="0"/>
    <xf numFmtId="0" fontId="0" fillId="7" borderId="0" pivotButton="0" quotePrefix="0" xfId="0"/>
    <xf numFmtId="0" fontId="12" fillId="5" borderId="0" pivotButton="0" quotePrefix="0" xfId="0"/>
    <xf numFmtId="0" fontId="13" fillId="0" borderId="0" applyProtection="1" pivotButton="0" quotePrefix="0" xfId="0">
      <protection locked="0" hidden="0"/>
    </xf>
    <xf numFmtId="164" fontId="1" fillId="0" borderId="16" applyProtection="1" pivotButton="0" quotePrefix="0" xfId="0">
      <protection locked="0" hidden="0"/>
    </xf>
    <xf numFmtId="0" fontId="1" fillId="0" borderId="48" pivotButton="0" quotePrefix="0" xfId="0"/>
    <xf numFmtId="0" fontId="1" fillId="0" borderId="49" pivotButton="0" quotePrefix="0" xfId="0"/>
    <xf numFmtId="0" fontId="1" fillId="0" borderId="50" pivotButton="0" quotePrefix="0" xfId="0"/>
    <xf numFmtId="164" fontId="1" fillId="0" borderId="46" applyProtection="1" pivotButton="0" quotePrefix="0" xfId="0">
      <protection locked="0" hidden="0"/>
    </xf>
    <xf numFmtId="164" fontId="1" fillId="0" borderId="45" applyProtection="1" pivotButton="0" quotePrefix="0" xfId="0">
      <protection locked="0" hidden="0"/>
    </xf>
    <xf numFmtId="1" fontId="1" fillId="0" borderId="7" pivotButton="0" quotePrefix="0" xfId="0"/>
    <xf numFmtId="1" fontId="1" fillId="0" borderId="47" applyProtection="1" pivotButton="0" quotePrefix="0" xfId="0">
      <protection locked="0" hidden="0"/>
    </xf>
    <xf numFmtId="1" fontId="1" fillId="0" borderId="48" applyProtection="1" pivotButton="0" quotePrefix="0" xfId="0">
      <protection locked="0" hidden="0"/>
    </xf>
    <xf numFmtId="1" fontId="1" fillId="0" borderId="49" applyProtection="1" pivotButton="0" quotePrefix="0" xfId="0">
      <protection locked="0" hidden="0"/>
    </xf>
    <xf numFmtId="164" fontId="1" fillId="4" borderId="1" applyProtection="1" pivotButton="0" quotePrefix="0" xfId="2">
      <protection locked="0" hidden="0"/>
    </xf>
    <xf numFmtId="0" fontId="1" fillId="5" borderId="2" applyAlignment="1" pivotButton="0" quotePrefix="0" xfId="0">
      <alignment horizontal="center" vertical="center" wrapText="1"/>
    </xf>
    <xf numFmtId="0" fontId="1" fillId="5" borderId="6"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4" applyAlignment="1" pivotButton="0" quotePrefix="0" xfId="0">
      <alignment horizontal="center" vertical="center" wrapText="1"/>
    </xf>
    <xf numFmtId="0" fontId="1" fillId="3" borderId="6"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7" applyAlignment="1" pivotButton="0" quotePrefix="0" xfId="0">
      <alignment horizontal="center" vertical="center" wrapText="1"/>
    </xf>
    <xf numFmtId="0" fontId="1" fillId="3" borderId="2" applyAlignment="1" pivotButton="0" quotePrefix="0" xfId="0">
      <alignment horizontal="center" vertical="center"/>
    </xf>
    <xf numFmtId="0" fontId="1" fillId="3" borderId="6" applyAlignment="1" pivotButton="0" quotePrefix="0" xfId="0">
      <alignment horizontal="center" vertical="center"/>
    </xf>
    <xf numFmtId="0" fontId="1" fillId="5" borderId="2" applyAlignment="1" pivotButton="0" quotePrefix="0" xfId="0">
      <alignment horizontal="center" vertical="center"/>
    </xf>
    <xf numFmtId="0" fontId="1" fillId="5" borderId="4" applyAlignment="1" pivotButton="0" quotePrefix="0" xfId="0">
      <alignment horizontal="center" vertical="center"/>
    </xf>
    <xf numFmtId="0" fontId="1" fillId="3" borderId="2" applyAlignment="1" pivotButton="0" quotePrefix="0" xfId="0">
      <alignment horizontal="center"/>
    </xf>
    <xf numFmtId="0" fontId="1" fillId="3" borderId="6" applyAlignment="1" pivotButton="0" quotePrefix="0" xfId="0">
      <alignment horizontal="center"/>
    </xf>
    <xf numFmtId="0" fontId="1" fillId="0" borderId="3" applyAlignment="1" pivotButton="0" quotePrefix="0" xfId="0">
      <alignment horizontal="center" wrapText="1"/>
    </xf>
    <xf numFmtId="0" fontId="1" fillId="0" borderId="7" applyAlignment="1" pivotButton="0" quotePrefix="0" xfId="0">
      <alignment horizontal="center" wrapText="1"/>
    </xf>
    <xf numFmtId="0" fontId="1" fillId="0" borderId="9" applyAlignment="1" pivotButton="0" quotePrefix="0" xfId="0">
      <alignment horizontal="center" vertical="center" wrapText="1"/>
    </xf>
    <xf numFmtId="0" fontId="1" fillId="0" borderId="10" applyAlignment="1" pivotButton="0" quotePrefix="0" xfId="0">
      <alignment horizontal="center" vertical="center" wrapText="1"/>
    </xf>
    <xf numFmtId="0" fontId="1" fillId="5" borderId="4" applyAlignment="1" pivotButton="0" quotePrefix="0" xfId="0">
      <alignment horizontal="center" vertical="center" wrapText="1"/>
    </xf>
    <xf numFmtId="0" fontId="1" fillId="3" borderId="4" applyAlignment="1" pivotButton="0" quotePrefix="0" xfId="0">
      <alignment horizontal="center" vertical="center"/>
    </xf>
    <xf numFmtId="0" fontId="2" fillId="3" borderId="26" applyAlignment="1" pivotButton="0" quotePrefix="0" xfId="0">
      <alignment horizontal="center"/>
    </xf>
    <xf numFmtId="0" fontId="2" fillId="3" borderId="27" applyAlignment="1" pivotButton="0" quotePrefix="0" xfId="0">
      <alignment horizontal="center"/>
    </xf>
    <xf numFmtId="0" fontId="2" fillId="3" borderId="28" applyAlignment="1" pivotButton="0" quotePrefix="0" xfId="0">
      <alignment horizontal="center"/>
    </xf>
    <xf numFmtId="0" fontId="2" fillId="5" borderId="26" applyAlignment="1" pivotButton="0" quotePrefix="0" xfId="0">
      <alignment horizontal="center"/>
    </xf>
    <xf numFmtId="0" fontId="2" fillId="5" borderId="27" applyAlignment="1" pivotButton="0" quotePrefix="0" xfId="0">
      <alignment horizontal="center"/>
    </xf>
    <xf numFmtId="0" fontId="2" fillId="5" borderId="28" applyAlignment="1" pivotButton="0" quotePrefix="0" xfId="0">
      <alignment horizontal="center"/>
    </xf>
    <xf numFmtId="0" fontId="1" fillId="0" borderId="3" applyAlignment="1" pivotButton="0" quotePrefix="0" xfId="0">
      <alignment horizontal="center" vertical="center"/>
    </xf>
    <xf numFmtId="0" fontId="1" fillId="0" borderId="5" applyAlignment="1" pivotButton="0" quotePrefix="0" xfId="0">
      <alignment horizontal="center" vertical="center"/>
    </xf>
    <xf numFmtId="0" fontId="1" fillId="0" borderId="7" applyAlignment="1" pivotButton="0" quotePrefix="0" xfId="0">
      <alignment horizontal="center" vertical="center"/>
    </xf>
    <xf numFmtId="0" fontId="1" fillId="5" borderId="6" applyAlignment="1" pivotButton="0" quotePrefix="0" xfId="0">
      <alignment horizontal="center" vertical="center"/>
    </xf>
    <xf numFmtId="0" fontId="1" fillId="0" borderId="0" applyAlignment="1" pivotButton="0" quotePrefix="0" xfId="0">
      <alignment horizontal="center" vertical="center" wrapText="1"/>
    </xf>
    <xf numFmtId="0" fontId="1" fillId="0" borderId="45" applyAlignment="1" pivotButton="0" quotePrefix="0" xfId="0">
      <alignment horizontal="center" vertical="center" wrapText="1"/>
    </xf>
    <xf numFmtId="0" fontId="1" fillId="0" borderId="0" pivotButton="0" quotePrefix="0" xfId="0"/>
    <xf numFmtId="164" fontId="1" fillId="0" borderId="0" applyProtection="1" pivotButton="0" quotePrefix="0" xfId="0">
      <protection locked="0" hidden="0"/>
    </xf>
    <xf numFmtId="164" fontId="1" fillId="0" borderId="0" pivotButton="0" quotePrefix="0" xfId="0"/>
    <xf numFmtId="0" fontId="1" fillId="5" borderId="0" pivotButton="0" quotePrefix="0" xfId="0"/>
    <xf numFmtId="0" fontId="1" fillId="0" borderId="24" pivotButton="0" quotePrefix="0" xfId="0"/>
    <xf numFmtId="0" fontId="1" fillId="0" borderId="51" pivotButton="0" quotePrefix="0" xfId="0"/>
    <xf numFmtId="164" fontId="1" fillId="0" borderId="20" pivotButton="0" quotePrefix="0" xfId="0"/>
    <xf numFmtId="0" fontId="1" fillId="0" borderId="33" pivotButton="0" quotePrefix="0" xfId="0"/>
    <xf numFmtId="164" fontId="1" fillId="0" borderId="10" pivotButton="0" quotePrefix="0" xfId="0"/>
    <xf numFmtId="0" fontId="3" fillId="0" borderId="12" pivotButton="0" quotePrefix="0" xfId="0"/>
    <xf numFmtId="0" fontId="3" fillId="0" borderId="52" pivotButton="0" quotePrefix="0" xfId="0"/>
    <xf numFmtId="164" fontId="3" fillId="0" borderId="18" pivotButton="0" quotePrefix="0" xfId="0"/>
    <xf numFmtId="0" fontId="2" fillId="3" borderId="1" applyAlignment="1" pivotButton="0" quotePrefix="0" xfId="0">
      <alignment horizontal="center"/>
    </xf>
    <xf numFmtId="0" fontId="0" fillId="0" borderId="27" pivotButton="0" quotePrefix="0" xfId="0"/>
    <xf numFmtId="0" fontId="0" fillId="0" borderId="28" pivotButton="0" quotePrefix="0" xfId="0"/>
    <xf numFmtId="0" fontId="2" fillId="5" borderId="1" applyAlignment="1" pivotButton="0" quotePrefix="0" xfId="0">
      <alignment horizontal="center"/>
    </xf>
    <xf numFmtId="0" fontId="1" fillId="3" borderId="26" applyAlignment="1" pivotButton="0" quotePrefix="0" xfId="0">
      <alignment horizontal="center" vertical="center"/>
    </xf>
    <xf numFmtId="0" fontId="1" fillId="0" borderId="28" applyAlignment="1" pivotButton="0" quotePrefix="0" xfId="0">
      <alignment horizontal="center" vertical="center"/>
    </xf>
    <xf numFmtId="0" fontId="1" fillId="5" borderId="26" applyAlignment="1" pivotButton="0" quotePrefix="0" xfId="0">
      <alignment horizontal="center" vertical="center"/>
    </xf>
    <xf numFmtId="0" fontId="1" fillId="0" borderId="28" applyAlignment="1" pivotButton="0" quotePrefix="0" xfId="0">
      <alignment horizontal="center" vertical="center"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1" fillId="3" borderId="26" applyAlignment="1" pivotButton="0" quotePrefix="0" xfId="0">
      <alignment horizontal="center" vertical="center" wrapText="1"/>
    </xf>
    <xf numFmtId="0" fontId="0" fillId="0" borderId="10" pivotButton="0" quotePrefix="0" xfId="0"/>
    <xf numFmtId="0" fontId="1" fillId="5" borderId="26" applyAlignment="1" pivotButton="0" quotePrefix="0" xfId="0">
      <alignment horizontal="center" vertical="center" wrapText="1"/>
    </xf>
    <xf numFmtId="0" fontId="1" fillId="3" borderId="26" applyAlignment="1" pivotButton="0" quotePrefix="0" xfId="0">
      <alignment horizontal="center"/>
    </xf>
    <xf numFmtId="0" fontId="1" fillId="0" borderId="28" applyAlignment="1" pivotButton="0" quotePrefix="0" xfId="0">
      <alignment horizontal="center" wrapText="1"/>
    </xf>
    <xf numFmtId="165" fontId="3" fillId="0" borderId="1" applyAlignment="1" pivotButton="0" quotePrefix="0" xfId="2">
      <alignment horizontal="center"/>
    </xf>
  </cellXfs>
  <cellStyles count="4">
    <cellStyle name="Normal" xfId="0" builtinId="0"/>
    <cellStyle name="Lien hypertexte" xfId="1" builtinId="8"/>
    <cellStyle name="Monétaire" xfId="2" builtinId="4"/>
    <cellStyle name="Lien hypertexte visité" xfId="3" builtinId="9" hidden="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externalLink" Target="/xl/externalLinks/externalLink1.xml" Id="rId8"/><Relationship Type="http://schemas.openxmlformats.org/officeDocument/2006/relationships/styles" Target="styles.xml" Id="rId9"/><Relationship Type="http://schemas.openxmlformats.org/officeDocument/2006/relationships/theme" Target="theme/theme1.xml" Id="rId10"/></Relationships>
</file>

<file path=xl/externalLinks/_rels/externalLink1.xml.rels><Relationships xmlns="http://schemas.openxmlformats.org/package/2006/relationships"><Relationship Type="http://schemas.openxmlformats.org/officeDocument/2006/relationships/externalLinkPath" Target="/Users/gille/Downloads/compta%20vierge%202020-2021%20GD%2020210417.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A faire par Gilles"/>
      <sheetName val="Lisez-moi"/>
      <sheetName val="Bilan"/>
      <sheetName val="Charges"/>
      <sheetName val="Produits"/>
      <sheetName val="Rubriques Charges"/>
      <sheetName val="Rubrique Produits"/>
      <sheetName val="Liste"/>
    </sheetNames>
    <sheetDataSet>
      <sheetData sheetId="0"/>
      <sheetData sheetId="1"/>
      <sheetData sheetId="2"/>
      <sheetData sheetId="3"/>
      <sheetData sheetId="4"/>
      <sheetData sheetId="5"/>
      <sheetData sheetId="6"/>
      <sheetData sheetId="7">
        <row r="1">
          <cell r="A1" t="str">
            <v>Achats</v>
          </cell>
          <cell r="C1" t="str">
            <v>Chèque</v>
          </cell>
        </row>
        <row r="2">
          <cell r="A2" t="str">
            <v>Charges</v>
          </cell>
          <cell r="C2" t="str">
            <v>Carte Bancaire</v>
          </cell>
        </row>
        <row r="3">
          <cell r="A3" t="str">
            <v>Impôts, Taxes et versements assimilés</v>
          </cell>
          <cell r="C3" t="str">
            <v>Espèces</v>
          </cell>
        </row>
        <row r="4">
          <cell r="A4" t="str">
            <v>Charges de personnel</v>
          </cell>
          <cell r="C4" t="str">
            <v>Dépôt Chèque</v>
          </cell>
        </row>
        <row r="5">
          <cell r="A5" t="str">
            <v>Autres charges de gestion courante</v>
          </cell>
          <cell r="C5" t="str">
            <v>Dépôt Espèces</v>
          </cell>
        </row>
        <row r="6">
          <cell r="A6" t="str">
            <v>Charges financières(intérêts, agios, …)</v>
          </cell>
          <cell r="C6" t="str">
            <v>DAB (retrait espèces)</v>
          </cell>
        </row>
        <row r="7">
          <cell r="A7" t="str">
            <v>Charges exceptionnelles (amendes,…)</v>
          </cell>
          <cell r="C7" t="str">
            <v>Prélèvement</v>
          </cell>
        </row>
        <row r="8">
          <cell r="A8" t="str">
            <v>Dotations aux amortissements et aux provisions</v>
          </cell>
          <cell r="C8" t="str">
            <v>TIP</v>
          </cell>
        </row>
        <row r="9">
          <cell r="A9" t="str">
            <v>Impots  sur les bénéfices et assimilés</v>
          </cell>
          <cell r="C9" t="str">
            <v>Télépaiement</v>
          </cell>
        </row>
        <row r="10">
          <cell r="C10" t="str">
            <v>Virement émis</v>
          </cell>
        </row>
        <row r="11">
          <cell r="C11" t="str">
            <v>Virement reçu</v>
          </cell>
        </row>
        <row r="12">
          <cell r="C12" t="str">
            <v>Autres</v>
          </cell>
        </row>
        <row r="30">
          <cell r="A30" t="str">
            <v>Ventes de produits, marchandises, prestations de services</v>
          </cell>
        </row>
        <row r="31">
          <cell r="A31" t="str">
            <v>Subventions d'exploitation</v>
          </cell>
        </row>
        <row r="32">
          <cell r="A32" t="str">
            <v>Autres produits de gestion courante</v>
          </cell>
        </row>
        <row r="33">
          <cell r="A33" t="str">
            <v>Produits financiers</v>
          </cell>
        </row>
        <row r="34">
          <cell r="A34" t="str">
            <v>Produits exceptionnels</v>
          </cell>
        </row>
        <row r="35">
          <cell r="A35" t="str">
            <v>Reprises sur amortissemenet et provision</v>
          </cell>
        </row>
        <row r="36">
          <cell r="A36" t="str">
            <v>Transferts de charges</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www.plancomptable.com/titre-IV/titre-IV_chapitre-III_section-4.htm" TargetMode="External" Id="rId1"/><Relationship Type="http://schemas.openxmlformats.org/officeDocument/2006/relationships/hyperlink" Target="http://www.plancomptable.com/titre-IV/titre-IV_chapitre-IV_section-7.htm" TargetMode="External" Id="rId2"/><Relationship Type="http://schemas.openxmlformats.org/officeDocument/2006/relationships/hyperlink" Target="http://www.plancomptable.com/titre-IV/titre-IV_chapitre-IV_section-6.htm" TargetMode="External" Id="rId3"/><Relationship Type="http://schemas.openxmlformats.org/officeDocument/2006/relationships/hyperlink" Target="http://www.plancomptable.com/titre-IV/titre-IV_chapitre-III_section-4.htm" TargetMode="External" Id="rId4"/><Relationship Type="http://schemas.openxmlformats.org/officeDocument/2006/relationships/hyperlink" Target="http://www.plancomptable.com/titre-IV/titre-IV_chapitre-IV_section-7.htm" TargetMode="External" Id="rId5"/><Relationship Type="http://schemas.openxmlformats.org/officeDocument/2006/relationships/hyperlink" Target="http://www.plancomptable.com/titre-IV/titre-IV_chapitre-IV_section-4.htm" TargetMode="External" Id="rId6"/><Relationship Type="http://schemas.openxmlformats.org/officeDocument/2006/relationships/hyperlink" Target="http://www.plancomptable.com/titre-IV/titre-IV_chapitre-IV_section-4.htm" TargetMode="External" Id="rId7"/><Relationship Type="http://schemas.openxmlformats.org/officeDocument/2006/relationships/hyperlink" Target="http://www.plancomptable.com/titre-IV/titre-IV_chapitre-IV_section-6.htm" TargetMode="External" Id="rId8"/><Relationship Type="http://schemas.openxmlformats.org/officeDocument/2006/relationships/hyperlink" Target="http://www.plancomptable.com/titre-IV/titre-IV_chapitre-IV_section-6.htm" TargetMode="External" Id="rId9"/><Relationship Type="http://schemas.openxmlformats.org/officeDocument/2006/relationships/hyperlink" Target="http://www.plancomptable.com/titre-IV/titre-IV_chapitre-IV_section-6.htm" TargetMode="External" Id="rId10"/><Relationship Type="http://schemas.openxmlformats.org/officeDocument/2006/relationships/hyperlink" Target="http://www.plancomptable.com/titre-IV/titre-IV_chapitre-IV_section-6.htm" TargetMode="External" Id="rId11"/><Relationship Type="http://schemas.openxmlformats.org/officeDocument/2006/relationships/hyperlink" Target="http://www.plancomptable.com/titre-IV/titre-IV_chapitre-IV_section-6.htm" TargetMode="External" Id="rId12"/><Relationship Type="http://schemas.openxmlformats.org/officeDocument/2006/relationships/hyperlink" Target="http://www.plancomptable.com/titre-IV/titre-IV_chapitre-IV_section-6.htm" TargetMode="External" Id="rId13"/><Relationship Type="http://schemas.openxmlformats.org/officeDocument/2006/relationships/hyperlink" Target="http://www.plancomptable.com/titre-IV/titre-IV_chapitre-IV_section-6.htm" TargetMode="External" Id="rId14"/><Relationship Type="http://schemas.openxmlformats.org/officeDocument/2006/relationships/hyperlink" Target="http://www.plancomptable.com/titre-IV/titre-IV_chapitre-IV_section-4.htm" TargetMode="External" Id="rId15"/><Relationship Type="http://schemas.openxmlformats.org/officeDocument/2006/relationships/hyperlink" Target="http://www.plancomptable.com/titre-IV/titre-IV_chapitre-IV_section-4.htm" TargetMode="External" Id="rId16"/><Relationship Type="http://schemas.openxmlformats.org/officeDocument/2006/relationships/hyperlink" Target="http://www.plancomptable.com/titre-IV/titre-IV_chapitre-III_section-4.htm" TargetMode="External" Id="rId17"/><Relationship Type="http://schemas.openxmlformats.org/officeDocument/2006/relationships/hyperlink" Target="http://www.plancomptable.com/titre-IV/titre-IV_chapitre-IV_section-6.htm" TargetMode="External" Id="rId18"/><Relationship Type="http://schemas.openxmlformats.org/officeDocument/2006/relationships/hyperlink" Target="http://www.plancomptable.com/titre-IV/titre-IV_chapitre-IV_section-6.htm" TargetMode="External" Id="rId19"/><Relationship Type="http://schemas.openxmlformats.org/officeDocument/2006/relationships/hyperlink" Target="http://www.plancomptable.com/titre-IV/titre-IV_chapitre-IV_section-4.htm" TargetMode="External" Id="rId20"/><Relationship Type="http://schemas.openxmlformats.org/officeDocument/2006/relationships/hyperlink" Target="http://www.plancomptable.com/titre-IV/titre-IV_chapitre-IV_section-4.htm" TargetMode="External" Id="rId21"/><Relationship Type="http://schemas.openxmlformats.org/officeDocument/2006/relationships/hyperlink" Target="http://www.plancomptable.com/titre-IV/titre-IV_chapitre-IV_section-6.htm" TargetMode="External" Id="rId22"/><Relationship Type="http://schemas.openxmlformats.org/officeDocument/2006/relationships/hyperlink" Target="http://www.plancomptable.com/titre-IV/titre-IV_chapitre-IV_section-4.htm" TargetMode="External" Id="rId23"/><Relationship Type="http://schemas.openxmlformats.org/officeDocument/2006/relationships/hyperlink" Target="http://www.plancomptable.com/titre-IV/titre-IV_chapitre-IV_section-6.htm" TargetMode="External" Id="rId24"/><Relationship Type="http://schemas.openxmlformats.org/officeDocument/2006/relationships/hyperlink" Target="http://www.plancomptable.com/titre-IV/titre-IV_chapitre-IV_section-6.htm" TargetMode="External" Id="rId25"/><Relationship Type="http://schemas.openxmlformats.org/officeDocument/2006/relationships/hyperlink" Target="http://www.plancomptable.com/titre-IV/titre-IV_chapitre-IV_section-6.htm" TargetMode="External" Id="rId26"/><Relationship Type="http://schemas.openxmlformats.org/officeDocument/2006/relationships/hyperlink" Target="http://www.plancomptable.com/titre-IV/titre-IV_chapitre-IV_section-4.htm" TargetMode="External" Id="rId27"/><Relationship Type="http://schemas.openxmlformats.org/officeDocument/2006/relationships/hyperlink" Target="http://www.plancomptable.com/titre-IV/titre-IV_chapitre-IV_section-4.htm" TargetMode="External" Id="rId28"/><Relationship Type="http://schemas.openxmlformats.org/officeDocument/2006/relationships/hyperlink" Target="http://www.plancomptable.com/titre-IV/titre-IV_chapitre-IV_section-4.htm" TargetMode="External" Id="rId29"/><Relationship Type="http://schemas.openxmlformats.org/officeDocument/2006/relationships/hyperlink" Target="http://www.plancomptable.com/titre-IV/titre-IV_chapitre-IV_section-4.htm" TargetMode="External" Id="rId30"/></Relationships>
</file>

<file path=xl/worksheets/_rels/sheet6.xml.rels><Relationships xmlns="http://schemas.openxmlformats.org/package/2006/relationships"><Relationship Type="http://schemas.openxmlformats.org/officeDocument/2006/relationships/hyperlink" Target="http://www.plancomptable.com/titre-IV/titre-IV_chapitre-IV_section-7.htm" TargetMode="External" Id="rId1"/><Relationship Type="http://schemas.openxmlformats.org/officeDocument/2006/relationships/hyperlink" Target="http://www.plancomptable.com/titre-IV/titre-IV_chapitre-III_section-4.htm" TargetMode="External" Id="rId2"/><Relationship Type="http://schemas.openxmlformats.org/officeDocument/2006/relationships/hyperlink" Target="http://www.plancomptable.com/titre-IV/titre-IV_chapitre-IV_section-6.htm" TargetMode="External" Id="rId3"/><Relationship Type="http://schemas.openxmlformats.org/officeDocument/2006/relationships/hyperlink" Target="http://www.plancomptable.com/titre-IV/titre-IV_chapitre-IV_section-7.htm" TargetMode="External" Id="rId4"/><Relationship Type="http://schemas.openxmlformats.org/officeDocument/2006/relationships/hyperlink" Target="http://www.plancomptable.com/titre-IV/titre-IV_chapitre-IV_section-7.htm" TargetMode="External" Id="rId5"/><Relationship Type="http://schemas.openxmlformats.org/officeDocument/2006/relationships/hyperlink" Target="http://www.plancomptable.com/titre-IV/titre-IV_chapitre-IV_section-7.htm" TargetMode="External" Id="rId6"/><Relationship Type="http://schemas.openxmlformats.org/officeDocument/2006/relationships/hyperlink" Target="http://www.plancomptable.com/titre-IV/titre-IV_chapitre-IV_section-7.htm" TargetMode="External" Id="rId7"/><Relationship Type="http://schemas.openxmlformats.org/officeDocument/2006/relationships/hyperlink" Target="http://www.plancomptable.com/titre-IV/titre-IV_chapitre-IV_section-4.htm" TargetMode="External" Id="rId8"/><Relationship Type="http://schemas.openxmlformats.org/officeDocument/2006/relationships/hyperlink" Target="http://www.plancomptable.com/titre-IV/titre-IV_chapitre-IV_section-4.htm" TargetMode="External" Id="rId9"/><Relationship Type="http://schemas.openxmlformats.org/officeDocument/2006/relationships/hyperlink" Target="http://www.plancomptable.com/titre-IV/titre-IV_chapitre-IV_section-7.htm" TargetMode="External" Id="rId10"/><Relationship Type="http://schemas.openxmlformats.org/officeDocument/2006/relationships/hyperlink" Target="http://www.plancomptable.com/titre-IV/titre-IV_chapitre-IV_section-7.htm" TargetMode="External" Id="rId11"/><Relationship Type="http://schemas.openxmlformats.org/officeDocument/2006/relationships/hyperlink" Target="http://www.plancomptable.com/titre-IV/titre-IV_chapitre-IV_section-1.htm" TargetMode="External" Id="rId12"/><Relationship Type="http://schemas.openxmlformats.org/officeDocument/2006/relationships/hyperlink" Target="http://www.plancomptable.com/titre-IV/titre-IV_chapitre-IV_section-7.htm" TargetMode="External" Id="rId13"/><Relationship Type="http://schemas.openxmlformats.org/officeDocument/2006/relationships/hyperlink" Target="http://www.plancomptable.com/titre-IV/titre-IV_chapitre-IV_section-7.htm" TargetMode="External" Id="rId14"/></Relationships>
</file>

<file path=xl/worksheets/sheet1.xml><?xml version="1.0" encoding="utf-8"?>
<worksheet xmlns="http://schemas.openxmlformats.org/spreadsheetml/2006/main">
  <sheetPr>
    <tabColor rgb="FFFF0000"/>
    <outlinePr summaryBelow="1" summaryRight="1"/>
    <pageSetUpPr/>
  </sheetPr>
  <dimension ref="A1:F61"/>
  <sheetViews>
    <sheetView workbookViewId="0">
      <selection activeCell="A13" sqref="A13"/>
    </sheetView>
  </sheetViews>
  <sheetFormatPr baseColWidth="10" defaultRowHeight="14.4"/>
  <cols>
    <col width="16.44140625" customWidth="1" min="1" max="1"/>
  </cols>
  <sheetData>
    <row r="1">
      <c r="A1" t="inlineStr">
        <is>
          <t>Compta version 2.0 du 14/11/2021</t>
        </is>
      </c>
    </row>
    <row r="2">
      <c r="A2" t="inlineStr">
        <is>
          <t>Concepteur Gilles ETIENNE</t>
        </is>
      </c>
    </row>
    <row r="3">
      <c r="A3" t="inlineStr">
        <is>
          <t>Validation Guy DELMAS</t>
        </is>
      </c>
    </row>
    <row r="5">
      <c r="A5" t="inlineStr">
        <is>
          <t>Cette feuille de calcul va vous aider à saisir la compta de vos sections.</t>
        </is>
      </c>
    </row>
    <row r="6">
      <c r="A6" t="inlineStr">
        <is>
          <t>Vous trouverez 3 onglets essentiels : Bilan, Charges, Produits</t>
        </is>
      </c>
    </row>
    <row r="8">
      <c r="A8" s="97" t="inlineStr">
        <is>
          <t xml:space="preserve">Bilan : </t>
        </is>
      </c>
    </row>
    <row r="9">
      <c r="A9" t="inlineStr">
        <is>
          <t>Regroupe le bilan de l'année N-1, la prévision de l'année en cours, la saisie de l'année en cours et les prévisions de l'année N+1</t>
        </is>
      </c>
    </row>
    <row r="10">
      <c r="A10" t="inlineStr">
        <is>
          <t>Dans cet onglet, seuls le bilan de l'année N-1, la prévision de l'année en cours et les prévisions de l'année N+1 sont à renseigner.</t>
        </is>
      </c>
    </row>
    <row r="11">
      <c r="A11" t="inlineStr">
        <is>
          <t>La saisie de l'année en cours se fait par la saisie des opérations de banque dans les onglets Charges et Produits</t>
        </is>
      </c>
    </row>
    <row r="12">
      <c r="A12" t="inlineStr">
        <is>
          <t>La section à laquelle vous appartenez doir être mentionnée en cellule C1</t>
        </is>
      </c>
    </row>
    <row r="14">
      <c r="A14" s="95" t="inlineStr">
        <is>
          <t>Saisir le nom de la section en C1</t>
        </is>
      </c>
      <c r="B14" s="95" t="n"/>
      <c r="C14" s="95" t="n"/>
    </row>
    <row r="16">
      <c r="A16" s="96" t="inlineStr">
        <is>
          <t>CHARGES</t>
        </is>
      </c>
    </row>
    <row r="18">
      <c r="A18" s="96" t="inlineStr">
        <is>
          <t>Exercice N-1</t>
        </is>
      </c>
    </row>
    <row r="19">
      <c r="A19" t="inlineStr">
        <is>
          <t>Saisir les valeurs de l'exercice N-1 dans les cellules blanches de la colonne D, le sous-total et le total général se font automatiquement.</t>
        </is>
      </c>
    </row>
    <row r="20">
      <c r="A20" t="inlineStr">
        <is>
          <t>Saisir le report à nouveau de l'année N-2 en D59, le résultat de la saison se fait automatiquement.</t>
        </is>
      </c>
    </row>
    <row r="22">
      <c r="A22" s="96" t="inlineStr">
        <is>
          <t>Prévisionnel N</t>
        </is>
      </c>
    </row>
    <row r="23">
      <c r="A23" t="inlineStr">
        <is>
          <t>Saisir les valeurs de l'exercice N-1 dans les cellules blanches de la colonne E, le sous-total se fait automatiquement.</t>
        </is>
      </c>
    </row>
    <row r="25">
      <c r="A25" s="96" t="inlineStr">
        <is>
          <t>Exercice N</t>
        </is>
      </c>
    </row>
    <row r="26">
      <c r="A26" t="inlineStr">
        <is>
          <t>Il n'y a rien à faire sur cet onglet, les cellules s'incrémenteront automatiquement en fonction des données  que vous aurez saisies dans les onglets Charges et Produits.</t>
        </is>
      </c>
    </row>
    <row r="28">
      <c r="A28" s="96" t="inlineStr">
        <is>
          <t>Prévisionnel N+1</t>
        </is>
      </c>
    </row>
    <row r="29">
      <c r="A29" t="inlineStr">
        <is>
          <t>Saisir les valeurs de l'exercice N+1 dans les cellules blanches de la colonne G, le sous-total se fait automatiquement.</t>
        </is>
      </c>
    </row>
    <row r="31">
      <c r="A31" s="96" t="inlineStr">
        <is>
          <t>Solde bancaire</t>
        </is>
      </c>
    </row>
    <row r="32">
      <c r="A32" s="95" t="inlineStr">
        <is>
          <t>Saisir la valeur du solde bancaire au 30 août de l'année en cours dans la cellule L59</t>
        </is>
      </c>
      <c r="B32" s="95" t="n"/>
      <c r="C32" s="95" t="n"/>
      <c r="D32" s="95" t="n"/>
      <c r="E32" s="95" t="n"/>
      <c r="F32" s="95" t="n"/>
    </row>
    <row r="33">
      <c r="A33" t="inlineStr">
        <is>
          <t>Le solde bancaire se fera automatiquement avec la saisie d'une croix dans la colonne L (Banque) dans les onglets Charges et Produits.</t>
        </is>
      </c>
    </row>
    <row r="35">
      <c r="A35" s="98" t="inlineStr">
        <is>
          <t>PRODUITS</t>
        </is>
      </c>
    </row>
    <row r="37">
      <c r="A37" s="98" t="inlineStr">
        <is>
          <t>Exercice N-1</t>
        </is>
      </c>
    </row>
    <row r="38">
      <c r="A38" t="inlineStr">
        <is>
          <t>Saisir les valeurs de l'exercice N-1 dans les cellules blanches de la colonne M, le sous-total et le total général se font automatiquement.</t>
        </is>
      </c>
    </row>
    <row r="40">
      <c r="A40" s="98" t="inlineStr">
        <is>
          <t>Prévisionnel N</t>
        </is>
      </c>
    </row>
    <row r="41">
      <c r="A41" t="inlineStr">
        <is>
          <t>Saisir les valeurs du prévisionnel N-1 dans les cellules blanches de la colonne N, le sous-total se fait automatiquement.</t>
        </is>
      </c>
    </row>
    <row r="43">
      <c r="A43" s="98" t="inlineStr">
        <is>
          <t>Exercice N</t>
        </is>
      </c>
    </row>
    <row r="44">
      <c r="A44" t="inlineStr">
        <is>
          <t>Il n'y a rien à faire sur cet onglet, les cellules s'incrémenteront automatiquement en fonction des données  que vous aurez saisies dans les onglets Charges et Produits.</t>
        </is>
      </c>
    </row>
    <row r="46">
      <c r="A46" s="98" t="inlineStr">
        <is>
          <t>Prévisionnel N+1</t>
        </is>
      </c>
    </row>
    <row r="47">
      <c r="A47" t="inlineStr">
        <is>
          <t>Saisir les valeurs de l'exercice N+1 dans les cellules blanches de la colonne P, le sous-total se fait automatiquement.</t>
        </is>
      </c>
    </row>
    <row r="49">
      <c r="A49" s="96" t="inlineStr">
        <is>
          <t>Onglet Charges</t>
        </is>
      </c>
    </row>
    <row r="50">
      <c r="A50" t="inlineStr">
        <is>
          <t>Saisir à partir du descriptif, le numéro de la pièce comptable se fera automatiquement</t>
        </is>
      </c>
    </row>
    <row r="51">
      <c r="A51" t="inlineStr">
        <is>
          <t>Remplir les cellules en saisie directe (Descriptif, Date, Tiers, N° chèque)</t>
        </is>
      </c>
    </row>
    <row r="52">
      <c r="A52" t="inlineStr">
        <is>
          <t>Choisir la Rubrique avec le menu déroulant, la saisie du Thème se fait ensuite avec le menu déroulant associé à la rubrique.</t>
        </is>
      </c>
    </row>
    <row r="53">
      <c r="A53" t="inlineStr">
        <is>
          <t>Indiquer le montant et mettre une croix dans la colonne L si l'opération est passée sur les relevés de banque. Cela permettra de vérifier le solde bancaire dans l'onglet Bilan.</t>
        </is>
      </c>
    </row>
    <row r="54">
      <c r="A54" t="inlineStr">
        <is>
          <t>Dans le doute sur la rubrique de saisie, l'onglet Rubrique Charges vous aidera à choisir sinon, laissez un message à uso94@orange.fr</t>
        </is>
      </c>
    </row>
    <row r="56">
      <c r="A56" s="98" t="inlineStr">
        <is>
          <t>Onglet Produits</t>
        </is>
      </c>
    </row>
    <row r="57">
      <c r="A57" t="inlineStr">
        <is>
          <t>Saisir à partir du descriptif, le numéro de la pièce comptable se fera automatiquement</t>
        </is>
      </c>
    </row>
    <row r="58">
      <c r="A58" t="inlineStr">
        <is>
          <t>Remplir les cellules en saisie directe (Descriptif, Date, N° chèque, Tiers)</t>
        </is>
      </c>
    </row>
    <row r="59">
      <c r="A59" t="inlineStr">
        <is>
          <t>Choisir la Rubrique avec le menu déroulant, la saisie du Thème se fait ensuite avec le menu déroulant associé à la rubrique.</t>
        </is>
      </c>
    </row>
    <row r="60">
      <c r="A60" t="inlineStr">
        <is>
          <t>Indiquer le montant et mettre une croix dans la colonne L si l'opération est passée sur les relevés de banque. Cela permettra de vérifier le solde bancaire dans l'onglet Bilan.</t>
        </is>
      </c>
    </row>
    <row r="61">
      <c r="A61" t="inlineStr">
        <is>
          <t>Dans le doute sur la rubrique de saisie, l'onglet Rubrique Produits vous aidera à choisir sinon, laissez un message à uso94@orange.fr</t>
        </is>
      </c>
    </row>
  </sheetData>
  <pageMargins left="0.7" right="0.7" top="0.75" bottom="0.75" header="0.3" footer="0.3"/>
  <pageSetup orientation="portrait" paperSize="9"/>
</worksheet>
</file>

<file path=xl/worksheets/sheet2.xml><?xml version="1.0" encoding="utf-8"?>
<worksheet xmlns="http://schemas.openxmlformats.org/spreadsheetml/2006/main">
  <sheetPr codeName="Feuil1">
    <tabColor rgb="FFFFC000"/>
    <outlinePr summaryBelow="1" summaryRight="1"/>
    <pageSetUpPr fitToPage="1"/>
  </sheetPr>
  <dimension ref="A1:P75"/>
  <sheetViews>
    <sheetView tabSelected="1" topLeftCell="A44" zoomScale="90" zoomScaleNormal="90" zoomScalePageLayoutView="110" workbookViewId="0">
      <selection activeCell="D67" sqref="D67"/>
    </sheetView>
  </sheetViews>
  <sheetFormatPr baseColWidth="10" defaultColWidth="10.88671875" defaultRowHeight="13.8"/>
  <cols>
    <col width="9.88671875" bestFit="1" customWidth="1" style="143" min="1" max="1"/>
    <col width="18.44140625" customWidth="1" style="143" min="2" max="2"/>
    <col width="42.109375" bestFit="1" customWidth="1" style="143" min="3" max="3"/>
    <col width="17.44140625" bestFit="1" customWidth="1" style="143" min="4" max="4"/>
    <col width="18.6640625" bestFit="1" customWidth="1" style="143" min="5" max="5"/>
    <col width="17.44140625" bestFit="1" customWidth="1" style="143" min="6" max="6"/>
    <col width="21" bestFit="1" customWidth="1" style="143" min="7" max="7"/>
    <col width="2" customWidth="1" style="143" min="8" max="9"/>
    <col width="10.88671875" customWidth="1" style="143" min="10" max="10"/>
    <col width="20.109375" customWidth="1" style="143" min="11" max="11"/>
    <col width="49.44140625" customWidth="1" style="143" min="12" max="12"/>
    <col width="17.44140625" bestFit="1" customWidth="1" style="143" min="13" max="13"/>
    <col width="18.6640625" bestFit="1" customWidth="1" style="143" min="14" max="14"/>
    <col width="17.44140625" bestFit="1" customWidth="1" style="143" min="15" max="15"/>
    <col width="21" bestFit="1" customWidth="1" style="143" min="16" max="16"/>
    <col width="10.88671875" customWidth="1" style="143" min="17" max="16384"/>
  </cols>
  <sheetData>
    <row r="1" ht="23.4" customFormat="1" customHeight="1" s="80" thickBot="1">
      <c r="A1" s="80" t="inlineStr">
        <is>
          <t>SECTION</t>
        </is>
      </c>
      <c r="C1" s="99" t="n"/>
    </row>
    <row r="2" ht="18" customHeight="1" thickBot="1">
      <c r="A2" s="155" t="inlineStr">
        <is>
          <t>Charges</t>
        </is>
      </c>
      <c r="B2" s="156" t="n"/>
      <c r="C2" s="156" t="n"/>
      <c r="D2" s="156" t="n"/>
      <c r="E2" s="156" t="n"/>
      <c r="F2" s="156" t="n"/>
      <c r="G2" s="157" t="n"/>
      <c r="J2" s="158" t="inlineStr">
        <is>
          <t>Produits</t>
        </is>
      </c>
      <c r="K2" s="156" t="n"/>
      <c r="L2" s="156" t="n"/>
      <c r="M2" s="156" t="n"/>
      <c r="N2" s="156" t="n"/>
      <c r="O2" s="156" t="n"/>
      <c r="P2" s="157" t="n"/>
    </row>
    <row r="3" ht="14.4" customHeight="1" thickBot="1">
      <c r="A3" s="24" t="inlineStr">
        <is>
          <t>Imputation</t>
        </is>
      </c>
      <c r="B3" s="24" t="inlineStr">
        <is>
          <t>Rubrique</t>
        </is>
      </c>
      <c r="C3" s="24" t="inlineStr">
        <is>
          <t>Thème</t>
        </is>
      </c>
      <c r="D3" s="24" t="inlineStr">
        <is>
          <t>Exercice N-1</t>
        </is>
      </c>
      <c r="E3" s="24" t="inlineStr">
        <is>
          <t>Prévisionnel N</t>
        </is>
      </c>
      <c r="F3" s="24" t="inlineStr">
        <is>
          <t>Exercice N</t>
        </is>
      </c>
      <c r="G3" s="24" t="inlineStr">
        <is>
          <t>Prévisionnel N+1</t>
        </is>
      </c>
      <c r="J3" s="24" t="inlineStr">
        <is>
          <t>Imputation</t>
        </is>
      </c>
      <c r="K3" s="24" t="inlineStr">
        <is>
          <t>Rubrique</t>
        </is>
      </c>
      <c r="L3" s="24" t="inlineStr">
        <is>
          <t>Thème</t>
        </is>
      </c>
      <c r="M3" s="24" t="inlineStr">
        <is>
          <t>Exercice N-1</t>
        </is>
      </c>
      <c r="N3" s="24" t="inlineStr">
        <is>
          <t>Prévisionnel N</t>
        </is>
      </c>
      <c r="O3" s="24" t="inlineStr">
        <is>
          <t>Exercice N</t>
        </is>
      </c>
      <c r="P3" s="24" t="inlineStr">
        <is>
          <t>Prévisionnel N+1</t>
        </is>
      </c>
    </row>
    <row r="4" ht="15.75" customHeight="1" thickBot="1">
      <c r="A4" s="159" t="n">
        <v>60</v>
      </c>
      <c r="B4" s="160" t="inlineStr">
        <is>
          <t>Achats</t>
        </is>
      </c>
      <c r="C4" s="24" t="inlineStr">
        <is>
          <t>Achats</t>
        </is>
      </c>
      <c r="D4" s="26">
        <f>SUM(D5:D11)</f>
        <v/>
      </c>
      <c r="E4" s="26">
        <f>SUM(E5:E11)</f>
        <v/>
      </c>
      <c r="F4" s="26">
        <f>SUM(F5:F11)</f>
        <v/>
      </c>
      <c r="G4" s="26">
        <f>SUM(G5:G11)</f>
        <v/>
      </c>
      <c r="J4" s="161" t="n">
        <v>70</v>
      </c>
      <c r="K4" s="162" t="inlineStr">
        <is>
          <t>Ventes de produits, marchandises, prestations de services</t>
        </is>
      </c>
      <c r="L4" s="52" t="inlineStr">
        <is>
          <t>Ventes de produits, marchandises, prestations de services</t>
        </is>
      </c>
      <c r="M4" s="55">
        <f>SUM(M5:M11)</f>
        <v/>
      </c>
      <c r="N4" s="55">
        <f>SUM(N5:N11)</f>
        <v/>
      </c>
      <c r="O4" s="55">
        <f>SUM(O5:O11)</f>
        <v/>
      </c>
      <c r="P4" s="55">
        <f>SUM(P5:P11)</f>
        <v/>
      </c>
    </row>
    <row r="5">
      <c r="A5" s="163" t="n"/>
      <c r="B5" s="164" t="n"/>
      <c r="C5" s="6" t="inlineStr">
        <is>
          <t>Achats d'études et prestations de service</t>
        </is>
      </c>
      <c r="D5" s="44" t="n"/>
      <c r="E5" s="44" t="n"/>
      <c r="F5" s="37">
        <f>SUMIF(Charges!J:J,C5,Charges!K:K)</f>
        <v/>
      </c>
      <c r="G5" s="48" t="n"/>
      <c r="J5" s="163" t="n"/>
      <c r="K5" s="164" t="n"/>
      <c r="L5" s="33" t="inlineStr">
        <is>
          <t>Prestations de service</t>
        </is>
      </c>
      <c r="M5" s="94" t="n">
        <v>0</v>
      </c>
      <c r="N5" s="94" t="n"/>
      <c r="O5" s="54">
        <f>SUMIF(Produits!J:J,L5,Produits!K:K)</f>
        <v/>
      </c>
      <c r="P5" s="84" t="n"/>
    </row>
    <row r="6">
      <c r="A6" s="163" t="n"/>
      <c r="B6" s="164" t="n"/>
      <c r="C6" s="3" t="inlineStr">
        <is>
          <t>Achats alimentaires</t>
        </is>
      </c>
      <c r="D6" s="45" t="n"/>
      <c r="E6" s="44" t="n"/>
      <c r="F6" s="37">
        <f>SUMIF(Charges!J:J,C6,Charges!K:K)</f>
        <v/>
      </c>
      <c r="G6" s="49" t="n"/>
      <c r="J6" s="163" t="n"/>
      <c r="K6" s="164" t="n"/>
      <c r="L6" s="39" t="inlineStr">
        <is>
          <t>Ventes  de marchandises (buvette…)</t>
        </is>
      </c>
      <c r="M6" s="45" t="n">
        <v>0</v>
      </c>
      <c r="N6" s="45" t="n"/>
      <c r="O6" s="38">
        <f>SUMIF(Produits!J:J,L6,Produits!K:K)</f>
        <v/>
      </c>
      <c r="P6" s="49" t="n"/>
    </row>
    <row r="7">
      <c r="A7" s="163" t="n"/>
      <c r="B7" s="164" t="n"/>
      <c r="C7" s="3" t="inlineStr">
        <is>
          <t>Achats matériels et équipements sportifs</t>
        </is>
      </c>
      <c r="D7" s="45" t="n"/>
      <c r="E7" s="44" t="n"/>
      <c r="F7" s="37">
        <f>SUMIF(Charges!J:J,C7,Charges!K:K)</f>
        <v/>
      </c>
      <c r="G7" s="49" t="n"/>
      <c r="J7" s="163" t="n"/>
      <c r="K7" s="164" t="n"/>
      <c r="L7" s="39" t="inlineStr">
        <is>
          <t>Ventes produits</t>
        </is>
      </c>
      <c r="M7" s="45" t="n">
        <v>0</v>
      </c>
      <c r="N7" s="45" t="n"/>
      <c r="O7" s="38">
        <f>SUMIF(Produits!J:J,L7,Produits!K:K)</f>
        <v/>
      </c>
      <c r="P7" s="49" t="n"/>
    </row>
    <row r="8">
      <c r="A8" s="163" t="n"/>
      <c r="B8" s="164" t="n"/>
      <c r="C8" s="3" t="inlineStr">
        <is>
          <t>Achats tenues sportives</t>
        </is>
      </c>
      <c r="D8" s="45" t="n"/>
      <c r="E8" s="44" t="n"/>
      <c r="F8" s="37">
        <f>SUMIF(Charges!J:J,C8,Charges!K:K)</f>
        <v/>
      </c>
      <c r="G8" s="49" t="n"/>
      <c r="J8" s="163" t="n"/>
      <c r="K8" s="164" t="n"/>
      <c r="L8" s="39" t="inlineStr">
        <is>
          <t>Vente équipements sportifs</t>
        </is>
      </c>
      <c r="M8" s="45" t="n">
        <v>0</v>
      </c>
      <c r="N8" s="45" t="n"/>
      <c r="O8" s="38">
        <f>SUMIF(Produits!J:J,L8,Produits!K:K)</f>
        <v/>
      </c>
      <c r="P8" s="49" t="n"/>
    </row>
    <row r="9">
      <c r="A9" s="163" t="n"/>
      <c r="B9" s="164" t="n"/>
      <c r="C9" s="3" t="inlineStr">
        <is>
          <t>Electricité, eau, gaz, combustibles</t>
        </is>
      </c>
      <c r="D9" s="45" t="n"/>
      <c r="E9" s="44" t="n"/>
      <c r="F9" s="37">
        <f>SUMIF(Charges!J:J,C9,Charges!K:K)</f>
        <v/>
      </c>
      <c r="G9" s="49" t="n"/>
      <c r="J9" s="163" t="n"/>
      <c r="K9" s="164" t="n"/>
      <c r="L9" s="39" t="inlineStr">
        <is>
          <t>Produits des activités annexes</t>
        </is>
      </c>
      <c r="M9" s="45" t="n">
        <v>0</v>
      </c>
      <c r="N9" s="45" t="n"/>
      <c r="O9" s="38">
        <f>SUMIF(Produits!J:J,L9,Produits!K:K)</f>
        <v/>
      </c>
      <c r="P9" s="49" t="n"/>
    </row>
    <row r="10">
      <c r="A10" s="163" t="n"/>
      <c r="B10" s="164" t="n"/>
      <c r="C10" s="3" t="inlineStr">
        <is>
          <t>Autres achats</t>
        </is>
      </c>
      <c r="D10" s="45" t="n"/>
      <c r="E10" s="44" t="n"/>
      <c r="F10" s="37">
        <f>SUMIF(Charges!J:J,C10,Charges!K:K)</f>
        <v/>
      </c>
      <c r="G10" s="49" t="n"/>
      <c r="J10" s="163" t="n"/>
      <c r="K10" s="164" t="n"/>
      <c r="L10" s="39" t="inlineStr">
        <is>
          <t>Prestations de service pour autres organismes publics</t>
        </is>
      </c>
      <c r="M10" s="45" t="n">
        <v>0</v>
      </c>
      <c r="N10" s="45" t="n"/>
      <c r="O10" s="38">
        <f>SUMIF(Produits!J:J,L10,Produits!K:K)</f>
        <v/>
      </c>
      <c r="P10" s="49" t="n"/>
    </row>
    <row r="11" ht="14.4" customHeight="1" thickBot="1">
      <c r="A11" s="165" t="n"/>
      <c r="B11" s="166" t="n"/>
      <c r="C11" s="7" t="n"/>
      <c r="D11" s="46" t="n"/>
      <c r="E11" s="53" t="n"/>
      <c r="F11" s="37">
        <f>SUMIF(Charges!J:J,C11,Charges!K:K)</f>
        <v/>
      </c>
      <c r="G11" s="50" t="n"/>
      <c r="J11" s="165" t="n"/>
      <c r="K11" s="166" t="n"/>
      <c r="L11" s="34" t="inlineStr">
        <is>
          <t>Sponsors</t>
        </is>
      </c>
      <c r="M11" s="100" t="n">
        <v>0</v>
      </c>
      <c r="N11" s="100" t="n"/>
      <c r="O11" s="56">
        <f>SUMIF(Produits!J:J,L11,Produits!K:K)</f>
        <v/>
      </c>
      <c r="P11" s="85" t="n"/>
    </row>
    <row r="12" ht="15" customHeight="1" thickBot="1">
      <c r="A12" s="167" t="inlineStr">
        <is>
          <t>61/62</t>
        </is>
      </c>
      <c r="B12" s="162" t="inlineStr">
        <is>
          <t>Charges externes</t>
        </is>
      </c>
      <c r="C12" s="24" t="inlineStr">
        <is>
          <t>Charges</t>
        </is>
      </c>
      <c r="D12" s="26">
        <f>SUM(D13:D29)</f>
        <v/>
      </c>
      <c r="E12" s="26">
        <f>SUM(E13:E29)</f>
        <v/>
      </c>
      <c r="F12" s="26">
        <f>SUM(F13:F29)</f>
        <v/>
      </c>
      <c r="G12" s="26">
        <f>SUM(G13:G29)</f>
        <v/>
      </c>
      <c r="J12" s="122" t="n"/>
      <c r="K12" s="128" t="n"/>
      <c r="L12" s="2" t="n"/>
      <c r="M12" s="53" t="n"/>
      <c r="N12" s="53" t="n"/>
      <c r="O12" s="87" t="n"/>
      <c r="P12" s="86" t="n"/>
    </row>
    <row r="13" ht="15" customHeight="1">
      <c r="A13" s="163" t="n"/>
      <c r="B13" s="164" t="n"/>
      <c r="C13" s="6" t="inlineStr">
        <is>
          <t>Locations</t>
        </is>
      </c>
      <c r="D13" s="44" t="n"/>
      <c r="E13" s="44" t="n"/>
      <c r="F13" s="37">
        <f>SUMIF(Charges!J:J,C13,Charges!K:K)</f>
        <v/>
      </c>
      <c r="G13" s="48" t="n"/>
      <c r="J13" s="122" t="n"/>
      <c r="K13" s="128" t="n"/>
      <c r="L13" s="2" t="n"/>
      <c r="M13" s="53" t="n"/>
      <c r="N13" s="53" t="n"/>
      <c r="O13" s="87" t="n"/>
      <c r="P13" s="86" t="n"/>
    </row>
    <row r="14" ht="15" customHeight="1">
      <c r="A14" s="163" t="n"/>
      <c r="B14" s="164" t="n"/>
      <c r="C14" s="3" t="inlineStr">
        <is>
          <t>Achats Petits équipements (mobilier, matériel)</t>
        </is>
      </c>
      <c r="D14" s="45" t="n"/>
      <c r="E14" s="44" t="n"/>
      <c r="F14" s="37">
        <f>SUMIF(Charges!J:J,C14,Charges!K:K)</f>
        <v/>
      </c>
      <c r="G14" s="49" t="n"/>
      <c r="J14" s="122" t="n"/>
      <c r="K14" s="128" t="n"/>
      <c r="L14" s="2" t="n"/>
      <c r="M14" s="53" t="n"/>
      <c r="N14" s="53" t="n"/>
      <c r="O14" s="87" t="n"/>
      <c r="P14" s="86" t="n"/>
    </row>
    <row r="15" ht="15" customHeight="1">
      <c r="A15" s="163" t="n"/>
      <c r="B15" s="164" t="n"/>
      <c r="C15" s="6" t="inlineStr">
        <is>
          <t>Location Salle</t>
        </is>
      </c>
      <c r="D15" s="44" t="n"/>
      <c r="E15" s="44" t="n"/>
      <c r="F15" s="37">
        <f>SUMIF(Charges!J:J,C15,Charges!K:K)</f>
        <v/>
      </c>
      <c r="G15" s="48" t="n"/>
      <c r="J15" s="122" t="n"/>
      <c r="K15" s="128" t="n"/>
      <c r="L15" s="2" t="n"/>
      <c r="M15" s="53" t="n"/>
      <c r="N15" s="53" t="n"/>
      <c r="O15" s="87" t="n"/>
      <c r="P15" s="86" t="n"/>
    </row>
    <row r="16">
      <c r="A16" s="163" t="n"/>
      <c r="B16" s="164" t="n"/>
      <c r="C16" s="143" t="inlineStr">
        <is>
          <t>Entretien et travaux</t>
        </is>
      </c>
      <c r="D16" s="45" t="n"/>
      <c r="E16" s="44" t="n"/>
      <c r="F16" s="37">
        <f>SUMIF(Charges!J:J,C16,Charges!K:K)</f>
        <v/>
      </c>
      <c r="G16" s="49" t="n"/>
      <c r="J16" s="122" t="n"/>
      <c r="K16" s="128" t="n"/>
      <c r="L16" s="2" t="n"/>
      <c r="M16" s="53" t="n"/>
      <c r="N16" s="53" t="n"/>
      <c r="O16" s="87" t="n"/>
      <c r="P16" s="86" t="n"/>
    </row>
    <row r="17">
      <c r="A17" s="163" t="n"/>
      <c r="B17" s="164" t="n"/>
      <c r="C17" s="3" t="inlineStr">
        <is>
          <t>Assurance</t>
        </is>
      </c>
      <c r="D17" s="45" t="n"/>
      <c r="E17" s="44" t="n"/>
      <c r="F17" s="37">
        <f>SUMIF(Charges!J:J,C17,Charges!K:K)</f>
        <v/>
      </c>
      <c r="G17" s="49" t="n"/>
      <c r="J17" s="122" t="n"/>
      <c r="K17" s="128" t="n"/>
      <c r="L17" s="2" t="n"/>
      <c r="M17" s="53" t="n"/>
      <c r="N17" s="53" t="n"/>
      <c r="O17" s="87" t="n"/>
      <c r="P17" s="86" t="n"/>
    </row>
    <row r="18">
      <c r="A18" s="163" t="n"/>
      <c r="B18" s="164" t="n"/>
      <c r="C18" s="3" t="inlineStr">
        <is>
          <t>Documentation</t>
        </is>
      </c>
      <c r="D18" s="45" t="n"/>
      <c r="E18" s="44" t="n"/>
      <c r="F18" s="37">
        <f>SUMIF(Charges!J:J,C18,Charges!K:K)</f>
        <v/>
      </c>
      <c r="G18" s="49" t="n"/>
      <c r="J18" s="122" t="n"/>
      <c r="K18" s="128" t="n"/>
      <c r="L18" s="2" t="n"/>
      <c r="M18" s="53" t="n"/>
      <c r="N18" s="53" t="n"/>
      <c r="O18" s="87" t="n"/>
      <c r="P18" s="86" t="n"/>
    </row>
    <row r="19">
      <c r="A19" s="163" t="n"/>
      <c r="B19" s="164" t="n"/>
      <c r="C19" s="7" t="inlineStr">
        <is>
          <t>Fournitures de bureau</t>
        </is>
      </c>
      <c r="D19" s="45" t="n"/>
      <c r="E19" s="44" t="n"/>
      <c r="F19" s="37">
        <f>SUMIF(Charges!J:J,C19,Charges!K:K)</f>
        <v/>
      </c>
      <c r="G19" s="49" t="n"/>
      <c r="J19" s="122" t="n"/>
      <c r="K19" s="128" t="n"/>
      <c r="L19" s="2" t="n"/>
      <c r="M19" s="53" t="n"/>
      <c r="N19" s="53" t="n"/>
      <c r="O19" s="87" t="n"/>
      <c r="P19" s="86" t="n"/>
    </row>
    <row r="20">
      <c r="A20" s="163" t="n"/>
      <c r="B20" s="164" t="n"/>
      <c r="C20" s="3" t="inlineStr">
        <is>
          <t>Rémunération personnel extérieur, honoraire</t>
        </is>
      </c>
      <c r="D20" s="45" t="n"/>
      <c r="E20" s="44" t="n"/>
      <c r="F20" s="37">
        <f>SUMIF(Charges!J:J,C20,Charges!K:K)</f>
        <v/>
      </c>
      <c r="G20" s="49" t="n"/>
      <c r="J20" s="122" t="n"/>
      <c r="K20" s="128" t="n"/>
      <c r="L20" s="2" t="n"/>
      <c r="M20" s="53" t="n"/>
      <c r="N20" s="53" t="n"/>
      <c r="O20" s="87" t="n"/>
      <c r="P20" s="86" t="n"/>
    </row>
    <row r="21">
      <c r="A21" s="163" t="n"/>
      <c r="B21" s="164" t="n"/>
      <c r="C21" s="3" t="inlineStr">
        <is>
          <t>Publicité</t>
        </is>
      </c>
      <c r="D21" s="45" t="n"/>
      <c r="E21" s="44" t="n"/>
      <c r="F21" s="37">
        <f>SUMIF(Charges!J:J,C21,Charges!K:K)</f>
        <v/>
      </c>
      <c r="G21" s="49" t="n"/>
      <c r="J21" s="122" t="n"/>
      <c r="K21" s="128" t="n"/>
      <c r="L21" s="2" t="n"/>
      <c r="M21" s="53" t="n"/>
      <c r="N21" s="53" t="n"/>
      <c r="O21" s="87" t="n"/>
      <c r="P21" s="86" t="n"/>
    </row>
    <row r="22">
      <c r="A22" s="163" t="n"/>
      <c r="B22" s="164" t="n"/>
      <c r="C22" s="3" t="inlineStr">
        <is>
          <t>Cadeaux</t>
        </is>
      </c>
      <c r="D22" s="45" t="n"/>
      <c r="E22" s="44" t="n"/>
      <c r="F22" s="37">
        <f>SUMIF(Charges!J:J,C22,Charges!K:K)</f>
        <v/>
      </c>
      <c r="G22" s="49" t="n"/>
      <c r="J22" s="122" t="n"/>
      <c r="K22" s="128" t="n"/>
      <c r="L22" s="2" t="n"/>
      <c r="M22" s="53" t="n"/>
      <c r="N22" s="53" t="n"/>
      <c r="O22" s="87" t="n"/>
      <c r="P22" s="86" t="n"/>
    </row>
    <row r="23">
      <c r="A23" s="163" t="n"/>
      <c r="B23" s="164" t="n"/>
      <c r="C23" s="143" t="inlineStr">
        <is>
          <t>Déplacements - Missions Collectif</t>
        </is>
      </c>
      <c r="D23" s="45" t="n"/>
      <c r="E23" s="44" t="n"/>
      <c r="F23" s="37">
        <f>SUMIF(Charges!J:J,C23,Charges!K:K)</f>
        <v/>
      </c>
      <c r="G23" s="49" t="n"/>
      <c r="J23" s="122" t="n"/>
      <c r="K23" s="128" t="n"/>
      <c r="L23" s="2" t="n"/>
      <c r="M23" s="53" t="n"/>
      <c r="N23" s="53" t="n"/>
      <c r="O23" s="87" t="n"/>
      <c r="P23" s="86" t="n"/>
    </row>
    <row r="24">
      <c r="A24" s="163" t="n"/>
      <c r="B24" s="164" t="n"/>
      <c r="C24" s="3" t="inlineStr">
        <is>
          <t>Déplacements - Missions Bureau</t>
        </is>
      </c>
      <c r="D24" s="45" t="n"/>
      <c r="E24" s="44" t="n"/>
      <c r="F24" s="37">
        <f>SUMIF(Charges!J:J,C24,Charges!K:K)</f>
        <v/>
      </c>
      <c r="G24" s="49" t="n"/>
      <c r="J24" s="122" t="n"/>
      <c r="K24" s="128" t="n"/>
      <c r="L24" s="2" t="n"/>
      <c r="M24" s="53" t="n"/>
      <c r="N24" s="53" t="n"/>
      <c r="O24" s="87" t="n"/>
      <c r="P24" s="86" t="n"/>
    </row>
    <row r="25">
      <c r="A25" s="163" t="n"/>
      <c r="B25" s="164" t="n"/>
      <c r="C25" s="3" t="inlineStr">
        <is>
          <t>Réceptions Bureau</t>
        </is>
      </c>
      <c r="D25" s="45" t="n"/>
      <c r="E25" s="44" t="n"/>
      <c r="F25" s="37">
        <f>SUMIF(Charges!J:J,C25,Charges!K:K)</f>
        <v/>
      </c>
      <c r="G25" s="50" t="n"/>
      <c r="J25" s="122" t="n"/>
      <c r="K25" s="128" t="n"/>
      <c r="L25" s="2" t="n"/>
      <c r="M25" s="53" t="n"/>
      <c r="N25" s="53" t="n"/>
      <c r="O25" s="87" t="n"/>
      <c r="P25" s="86" t="n"/>
    </row>
    <row r="26">
      <c r="A26" s="163" t="n"/>
      <c r="B26" s="164" t="n"/>
      <c r="C26" s="3" t="inlineStr">
        <is>
          <t>Inscriptions Tournois</t>
        </is>
      </c>
      <c r="D26" s="45" t="n"/>
      <c r="E26" s="44" t="n"/>
      <c r="F26" s="37">
        <f>SUMIF(Charges!J:J,C26,Charges!K:K)</f>
        <v/>
      </c>
      <c r="G26" s="50" t="n"/>
      <c r="J26" s="122" t="n"/>
      <c r="K26" s="128" t="n"/>
      <c r="L26" s="2" t="n"/>
      <c r="M26" s="53" t="n"/>
      <c r="N26" s="53" t="n"/>
      <c r="O26" s="87" t="n"/>
      <c r="P26" s="86" t="n"/>
    </row>
    <row r="27">
      <c r="A27" s="163" t="n"/>
      <c r="B27" s="164" t="n"/>
      <c r="C27" s="3" t="inlineStr">
        <is>
          <t>Frais postaux</t>
        </is>
      </c>
      <c r="D27" s="45" t="n"/>
      <c r="E27" s="44" t="n"/>
      <c r="F27" s="37">
        <f>SUMIF(Charges!J:J,C27,Charges!K:K)</f>
        <v/>
      </c>
      <c r="G27" s="50" t="n"/>
      <c r="J27" s="122" t="n"/>
      <c r="K27" s="128" t="n"/>
      <c r="L27" s="2" t="n"/>
      <c r="M27" s="53" t="n"/>
      <c r="N27" s="53" t="n"/>
      <c r="O27" s="87" t="n"/>
      <c r="P27" s="86" t="n"/>
    </row>
    <row r="28">
      <c r="A28" s="163" t="n"/>
      <c r="B28" s="164" t="n"/>
      <c r="C28" s="3" t="inlineStr">
        <is>
          <t>Télécom (téléphone/Internet)</t>
        </is>
      </c>
      <c r="D28" s="45" t="n"/>
      <c r="E28" s="44" t="n"/>
      <c r="F28" s="37">
        <f>SUMIF(Charges!J:J,C28,Charges!K:K)</f>
        <v/>
      </c>
      <c r="G28" s="50" t="n"/>
      <c r="J28" s="122" t="n"/>
      <c r="K28" s="128" t="n"/>
      <c r="L28" s="2" t="n"/>
      <c r="M28" s="53" t="n"/>
      <c r="N28" s="53" t="n"/>
      <c r="O28" s="87" t="n"/>
      <c r="P28" s="86" t="n"/>
    </row>
    <row r="29" ht="14.4" customHeight="1" thickBot="1">
      <c r="A29" s="165" t="n"/>
      <c r="B29" s="166" t="n"/>
      <c r="C29" s="3" t="inlineStr">
        <is>
          <t>Frais bancaires</t>
        </is>
      </c>
      <c r="D29" s="46" t="n"/>
      <c r="E29" s="53" t="n"/>
      <c r="F29" s="37">
        <f>SUMIF(Charges!J:J,C29,Charges!K:K)</f>
        <v/>
      </c>
      <c r="G29" s="50" t="n"/>
      <c r="J29" s="122" t="n"/>
      <c r="K29" s="128" t="n"/>
      <c r="L29" s="2" t="n"/>
      <c r="M29" s="53" t="n"/>
      <c r="N29" s="53" t="n"/>
      <c r="O29" s="87" t="n"/>
      <c r="P29" s="86" t="n"/>
    </row>
    <row r="30" ht="15.75" customHeight="1" thickBot="1">
      <c r="A30" s="159" t="n">
        <v>63</v>
      </c>
      <c r="B30" s="162" t="inlineStr">
        <is>
          <t>Impôts, Taxes et versements assimilés</t>
        </is>
      </c>
      <c r="C30" s="25" t="inlineStr">
        <is>
          <t>Impôts, Taxes et versements assimilés</t>
        </is>
      </c>
      <c r="D30" s="26">
        <f>SUM(D31)</f>
        <v/>
      </c>
      <c r="E30" s="26">
        <f>SUM(E31)</f>
        <v/>
      </c>
      <c r="F30" s="26">
        <f>SUM(F31)</f>
        <v/>
      </c>
      <c r="G30" s="26">
        <f>SUM(G31)</f>
        <v/>
      </c>
      <c r="J30" s="121" t="n"/>
      <c r="K30" s="127" t="n"/>
      <c r="L30" s="30" t="n"/>
      <c r="M30" s="88" t="n"/>
      <c r="N30" s="88" t="n"/>
      <c r="O30" s="89" t="n"/>
      <c r="P30" s="90" t="n"/>
    </row>
    <row r="31" ht="14.4" customHeight="1" thickBot="1">
      <c r="A31" s="165" t="n"/>
      <c r="B31" s="166" t="n"/>
      <c r="C31" s="4" t="inlineStr">
        <is>
          <t>Impôts, Taxes et versements assimilés</t>
        </is>
      </c>
      <c r="D31" s="47" t="n"/>
      <c r="E31" s="53" t="n"/>
      <c r="F31" s="37">
        <f>SUMIF(Charges!J:J,C31,Charges!K:K)</f>
        <v/>
      </c>
      <c r="G31" s="51" t="n"/>
      <c r="J31" s="140" t="n"/>
      <c r="K31" s="13" t="n"/>
      <c r="L31" s="4" t="n"/>
      <c r="M31" s="91" t="n"/>
      <c r="N31" s="91" t="n"/>
      <c r="O31" s="92" t="n"/>
      <c r="P31" s="93" t="n"/>
    </row>
    <row r="32" ht="30.75" customHeight="1" thickBot="1">
      <c r="A32" s="130" t="n">
        <v>64</v>
      </c>
      <c r="B32" s="117" t="inlineStr">
        <is>
          <t>Charges de Personnel</t>
        </is>
      </c>
      <c r="C32" s="25" t="inlineStr">
        <is>
          <t>Charges de personnel</t>
        </is>
      </c>
      <c r="D32" s="26">
        <f>SUM(D33:D41)</f>
        <v/>
      </c>
      <c r="E32" s="26">
        <f>SUM(E33:E41)</f>
        <v/>
      </c>
      <c r="F32" s="26">
        <f>SUM(F33:F41)</f>
        <v/>
      </c>
      <c r="G32" s="26">
        <f>SUM(G33:G41)</f>
        <v/>
      </c>
      <c r="J32" s="121" t="n">
        <v>74</v>
      </c>
      <c r="K32" s="127" t="inlineStr">
        <is>
          <t>Subventions d'exploitation</t>
        </is>
      </c>
      <c r="L32" s="24" t="inlineStr">
        <is>
          <t>Subventions d'exploitation</t>
        </is>
      </c>
      <c r="M32" s="42">
        <f>SUM(M33:M41)</f>
        <v/>
      </c>
      <c r="N32" s="42">
        <f>SUM(N33:N41)</f>
        <v/>
      </c>
      <c r="O32" s="42">
        <f>SUM(O33:O41)</f>
        <v/>
      </c>
      <c r="P32" s="42">
        <f>SUM(P33:P41)</f>
        <v/>
      </c>
    </row>
    <row r="33">
      <c r="A33" s="163" t="n"/>
      <c r="B33" s="164" t="n"/>
      <c r="C33" s="6" t="inlineStr">
        <is>
          <t>Rémunération du personnel (Salaires)</t>
        </is>
      </c>
      <c r="D33" s="45" t="n"/>
      <c r="E33" s="44" t="n"/>
      <c r="F33" s="37">
        <f>SUMIF(Charges!J:J,C33,Charges!K:K)</f>
        <v/>
      </c>
      <c r="G33" s="49" t="n"/>
      <c r="J33" s="163" t="n"/>
      <c r="K33" s="168" t="n"/>
      <c r="L33" s="6" t="inlineStr">
        <is>
          <t>Etat</t>
        </is>
      </c>
      <c r="M33" s="45" t="n">
        <v>0</v>
      </c>
      <c r="N33" s="44" t="n"/>
      <c r="O33" s="37">
        <f>SUMIF(Produits!J:J,L33,Produits!K:K)</f>
        <v/>
      </c>
      <c r="P33" s="49" t="n"/>
    </row>
    <row r="34">
      <c r="A34" s="163" t="n"/>
      <c r="B34" s="164" t="n"/>
      <c r="C34" s="35" t="inlineStr">
        <is>
          <t>Charges sociales et autres charges de personnel</t>
        </is>
      </c>
      <c r="D34" s="45" t="n"/>
      <c r="E34" s="44" t="n"/>
      <c r="F34" s="37">
        <f>SUMIF(Charges!J:J,C34,Charges!K:K)</f>
        <v/>
      </c>
      <c r="G34" s="49" t="n"/>
      <c r="J34" s="163" t="n"/>
      <c r="K34" s="168" t="n"/>
      <c r="L34" s="3" t="inlineStr">
        <is>
          <t>ANS (Ex CNDS)</t>
        </is>
      </c>
      <c r="M34" s="45" t="n">
        <v>0</v>
      </c>
      <c r="N34" s="44" t="n"/>
      <c r="O34" s="37">
        <f>SUMIF(Produits!J:J,L34,Produits!K:K)</f>
        <v/>
      </c>
      <c r="P34" s="49" t="n"/>
    </row>
    <row r="35">
      <c r="A35" s="163" t="n"/>
      <c r="B35" s="164" t="n"/>
      <c r="C35" s="3" t="inlineStr">
        <is>
          <t>Forfait Accompagnateur</t>
        </is>
      </c>
      <c r="D35" s="45" t="n"/>
      <c r="E35" s="44" t="n"/>
      <c r="F35" s="37">
        <f>SUMIF(Charges!J:J,C35,Charges!K:K)</f>
        <v/>
      </c>
      <c r="G35" s="49" t="n"/>
      <c r="J35" s="163" t="n"/>
      <c r="K35" s="168" t="n"/>
      <c r="L35" s="3" t="inlineStr">
        <is>
          <t>Conseil Régional</t>
        </is>
      </c>
      <c r="M35" s="45" t="n">
        <v>0</v>
      </c>
      <c r="N35" s="44" t="n"/>
      <c r="O35" s="37">
        <f>SUMIF(Produits!J:J,L35,Produits!K:K)</f>
        <v/>
      </c>
      <c r="P35" s="49" t="n"/>
    </row>
    <row r="36">
      <c r="A36" s="163" t="n"/>
      <c r="B36" s="164" t="n"/>
      <c r="C36" s="3" t="inlineStr">
        <is>
          <t>Reversion USO</t>
        </is>
      </c>
      <c r="D36" s="45" t="n"/>
      <c r="E36" s="44" t="n"/>
      <c r="F36" s="37">
        <f>SUMIF(Charges!J:J,C36,Charges!K:K)</f>
        <v/>
      </c>
      <c r="G36" s="49" t="n"/>
      <c r="J36" s="163" t="n"/>
      <c r="K36" s="168" t="n"/>
      <c r="L36" s="3" t="inlineStr">
        <is>
          <t>Conseil Départemental</t>
        </is>
      </c>
      <c r="M36" s="45" t="n">
        <v>0</v>
      </c>
      <c r="N36" s="44" t="n"/>
      <c r="O36" s="37">
        <f>SUMIF(Produits!J:J,L36,Produits!K:K)</f>
        <v/>
      </c>
      <c r="P36" s="49" t="n"/>
    </row>
    <row r="37">
      <c r="A37" s="163" t="n"/>
      <c r="B37" s="164" t="n"/>
      <c r="C37" s="3" t="inlineStr">
        <is>
          <t>Formation personnel</t>
        </is>
      </c>
      <c r="D37" s="45" t="n"/>
      <c r="E37" s="44" t="n"/>
      <c r="F37" s="37">
        <f>SUMIF(Charges!J:J,C37,Charges!K:K)</f>
        <v/>
      </c>
      <c r="G37" s="49" t="n"/>
      <c r="J37" s="163" t="n"/>
      <c r="K37" s="168" t="n"/>
      <c r="L37" s="3" t="inlineStr">
        <is>
          <t>Commune</t>
        </is>
      </c>
      <c r="M37" s="45" t="n">
        <v>0</v>
      </c>
      <c r="N37" s="44" t="n"/>
      <c r="O37" s="37">
        <f>SUMIF(Produits!J:J,L37,Produits!K:K)</f>
        <v/>
      </c>
      <c r="P37" s="49" t="n"/>
    </row>
    <row r="38">
      <c r="A38" s="163" t="n"/>
      <c r="B38" s="164" t="n"/>
      <c r="C38" s="3" t="inlineStr">
        <is>
          <t>Salaires versés par l'USO</t>
        </is>
      </c>
      <c r="D38" s="45" t="n"/>
      <c r="E38" s="44" t="n"/>
      <c r="F38" s="37">
        <f>SUMIF(Charges!J:J,C38,Charges!K:K)</f>
        <v/>
      </c>
      <c r="G38" s="49" t="n"/>
      <c r="J38" s="163" t="n"/>
      <c r="K38" s="168" t="n"/>
      <c r="L38" s="3" t="inlineStr">
        <is>
          <t>USO</t>
        </is>
      </c>
      <c r="M38" s="45" t="n">
        <v>0</v>
      </c>
      <c r="N38" s="44" t="n"/>
      <c r="O38" s="37">
        <f>SUMIF(Produits!J:J,L38,Produits!K:K)</f>
        <v/>
      </c>
      <c r="P38" s="49" t="n"/>
    </row>
    <row r="39">
      <c r="A39" s="163" t="n"/>
      <c r="B39" s="164" t="n"/>
      <c r="D39" s="45" t="n"/>
      <c r="E39" s="45" t="n"/>
      <c r="F39" s="38" t="n"/>
      <c r="G39" s="49" t="n"/>
      <c r="J39" s="163" t="n"/>
      <c r="K39" s="168" t="n"/>
      <c r="L39" s="3" t="inlineStr">
        <is>
          <t>Salaires versés par l'USO</t>
        </is>
      </c>
      <c r="M39" s="45" t="n">
        <v>0</v>
      </c>
      <c r="N39" s="44" t="n"/>
      <c r="O39" s="37">
        <f>SUMIF(Produits!J:J,L39,Produits!K:K)</f>
        <v/>
      </c>
      <c r="P39" s="49" t="n"/>
    </row>
    <row r="40">
      <c r="A40" s="163" t="n"/>
      <c r="B40" s="164" t="n"/>
      <c r="C40" s="3" t="n"/>
      <c r="D40" s="45" t="n"/>
      <c r="E40" s="45" t="n"/>
      <c r="F40" s="38" t="n"/>
      <c r="G40" s="49" t="n"/>
      <c r="J40" s="163" t="n"/>
      <c r="K40" s="168" t="n"/>
      <c r="L40" s="3" t="inlineStr">
        <is>
          <t>Subvention Fédération</t>
        </is>
      </c>
      <c r="M40" s="45" t="n">
        <v>0</v>
      </c>
      <c r="N40" s="44" t="n"/>
      <c r="O40" s="37">
        <f>SUMIF(Produits!J:J,L40,Produits!K:K)</f>
        <v/>
      </c>
      <c r="P40" s="49" t="n"/>
    </row>
    <row r="41" ht="14.4" customHeight="1" thickBot="1">
      <c r="A41" s="163" t="n"/>
      <c r="B41" s="164" t="n"/>
      <c r="C41" s="3" t="n"/>
      <c r="D41" s="45" t="n"/>
      <c r="E41" s="45" t="n"/>
      <c r="F41" s="38" t="n"/>
      <c r="G41" s="49" t="n"/>
      <c r="J41" s="163" t="n"/>
      <c r="K41" s="168" t="n"/>
      <c r="L41" s="3" t="inlineStr">
        <is>
          <t>Autres (préciser)</t>
        </is>
      </c>
      <c r="M41" s="45" t="n">
        <v>0</v>
      </c>
      <c r="N41" s="44" t="n"/>
      <c r="O41" s="37">
        <f>SUMIF(Produits!J:J,L41,Produits!K:K)</f>
        <v/>
      </c>
      <c r="P41" s="49" t="n"/>
    </row>
    <row r="42" ht="15.75" customHeight="1" thickBot="1">
      <c r="A42" s="159" t="n">
        <v>65</v>
      </c>
      <c r="B42" s="162" t="inlineStr">
        <is>
          <t>Autres charges de gestion courante</t>
        </is>
      </c>
      <c r="C42" s="25" t="inlineStr">
        <is>
          <t>Autres charges de gestion courante</t>
        </is>
      </c>
      <c r="D42" s="26">
        <f>SUM(D43:D47)</f>
        <v/>
      </c>
      <c r="E42" s="26">
        <f>SUM(E43:E47)</f>
        <v/>
      </c>
      <c r="F42" s="26">
        <f>SUM(F43:F47)</f>
        <v/>
      </c>
      <c r="G42" s="26">
        <f>SUM(G43:G47)</f>
        <v/>
      </c>
      <c r="J42" s="169" t="n">
        <v>75</v>
      </c>
      <c r="K42" s="162" t="inlineStr">
        <is>
          <t>Autres produits de gestion courante</t>
        </is>
      </c>
      <c r="L42" s="24" t="inlineStr">
        <is>
          <t>Autres produits de gestion courante</t>
        </is>
      </c>
      <c r="M42" s="42">
        <f>SUM(M43:M47)</f>
        <v/>
      </c>
      <c r="N42" s="42">
        <f>SUM(N43:N47)</f>
        <v/>
      </c>
      <c r="O42" s="42">
        <f>SUM(O43:O47)</f>
        <v/>
      </c>
      <c r="P42" s="42">
        <f>SUM(P43:P47)</f>
        <v/>
      </c>
    </row>
    <row r="43" ht="15.75" customHeight="1">
      <c r="A43" s="163" t="n"/>
      <c r="B43" s="164" t="n"/>
      <c r="C43" s="6" t="inlineStr">
        <is>
          <t>Autres charges de gestion courante</t>
        </is>
      </c>
      <c r="D43" s="45" t="n"/>
      <c r="E43" s="44" t="n"/>
      <c r="F43" s="37">
        <f>SUMIF(Charges!J:J,C43,Charges!K:K)</f>
        <v/>
      </c>
      <c r="G43" s="49" t="n"/>
      <c r="J43" s="163" t="n"/>
      <c r="K43" s="164" t="n"/>
      <c r="L43" s="3" t="inlineStr">
        <is>
          <t>Cotisations des adhérents</t>
        </is>
      </c>
      <c r="M43" s="45" t="n">
        <v>0</v>
      </c>
      <c r="N43" s="44" t="n"/>
      <c r="O43" s="37">
        <f>SUMIF(Produits!J:J,L43,Produits!K:K)</f>
        <v/>
      </c>
      <c r="P43" s="49" t="n"/>
    </row>
    <row r="44" ht="15.75" customHeight="1">
      <c r="A44" s="163" t="n"/>
      <c r="B44" s="164" t="n"/>
      <c r="C44" s="3" t="inlineStr">
        <is>
          <t>Fédération Réaffiliation section</t>
        </is>
      </c>
      <c r="D44" s="45" t="n"/>
      <c r="E44" s="44" t="n"/>
      <c r="F44" s="37">
        <f>SUMIF(Charges!J:J,C44,Charges!K:K)</f>
        <v/>
      </c>
      <c r="G44" s="49" t="n"/>
      <c r="J44" s="163" t="n"/>
      <c r="K44" s="164" t="n"/>
      <c r="L44" s="3" t="inlineStr">
        <is>
          <t>Autres produits</t>
        </is>
      </c>
      <c r="M44" s="45" t="n">
        <v>0</v>
      </c>
      <c r="N44" s="44" t="n"/>
      <c r="O44" s="37">
        <f>SUMIF(Produits!J:J,L44,Produits!K:K)</f>
        <v/>
      </c>
      <c r="P44" s="49" t="n"/>
    </row>
    <row r="45" ht="15.75" customHeight="1">
      <c r="A45" s="163" t="n"/>
      <c r="B45" s="164" t="n"/>
      <c r="C45" s="3" t="inlineStr">
        <is>
          <t>Fédération Licences</t>
        </is>
      </c>
      <c r="D45" s="45" t="n"/>
      <c r="E45" s="44" t="n"/>
      <c r="F45" s="37">
        <f>SUMIF(Charges!J:J,C45,Charges!K:K)</f>
        <v/>
      </c>
      <c r="G45" s="49" t="n"/>
      <c r="J45" s="163" t="n"/>
      <c r="K45" s="164" t="n"/>
      <c r="L45" s="3" t="inlineStr">
        <is>
          <t>Cotisation des adhérents N+1</t>
        </is>
      </c>
      <c r="M45" s="45" t="n"/>
      <c r="N45" s="44" t="n"/>
      <c r="O45" s="37">
        <f>SUMIF(Produits!J:J,L45,Produits!K:K)</f>
        <v/>
      </c>
      <c r="P45" s="49" t="n"/>
    </row>
    <row r="46" ht="15.75" customHeight="1">
      <c r="A46" s="163" t="n"/>
      <c r="B46" s="164" t="n"/>
      <c r="C46" s="3" t="inlineStr">
        <is>
          <t>Fédération Engagements équipes</t>
        </is>
      </c>
      <c r="D46" s="45" t="n"/>
      <c r="E46" s="44" t="n"/>
      <c r="F46" s="37">
        <f>SUMIF(Charges!J:J,C46,Charges!K:K)</f>
        <v/>
      </c>
      <c r="G46" s="49" t="n"/>
      <c r="J46" s="163" t="n"/>
      <c r="K46" s="164" t="n"/>
      <c r="L46" s="2" t="n"/>
      <c r="M46" s="45" t="n"/>
      <c r="N46" s="44" t="n"/>
      <c r="O46" s="37" t="n"/>
      <c r="P46" s="49" t="n"/>
    </row>
    <row r="47" ht="14.4" customHeight="1" thickBot="1">
      <c r="A47" s="165" t="n"/>
      <c r="B47" s="166" t="n"/>
      <c r="C47" s="3" t="inlineStr">
        <is>
          <t>Fédération Arbitrage</t>
        </is>
      </c>
      <c r="D47" s="45" t="n"/>
      <c r="E47" s="44" t="n"/>
      <c r="F47" s="37">
        <f>SUMIF(Charges!J:J,C47,Charges!K:K)</f>
        <v/>
      </c>
      <c r="G47" s="49" t="n"/>
      <c r="J47" s="165" t="n"/>
      <c r="K47" s="166" t="n"/>
      <c r="L47" s="2" t="n"/>
      <c r="M47" s="45" t="n"/>
      <c r="N47" s="44" t="n"/>
      <c r="O47" s="37">
        <f>SUMIF(Produits!J:J,L47,Produits!K:K)</f>
        <v/>
      </c>
      <c r="P47" s="49" t="n"/>
    </row>
    <row r="48" ht="15.75" customHeight="1" thickBot="1">
      <c r="A48" s="170" t="n">
        <v>66</v>
      </c>
      <c r="B48" s="171" t="inlineStr">
        <is>
          <t>Charges financières (intérêts, agios, …)</t>
        </is>
      </c>
      <c r="C48" s="25" t="inlineStr">
        <is>
          <t>Charges financières(intérêts, agios, …)</t>
        </is>
      </c>
      <c r="D48" s="26">
        <f>SUM(D49)</f>
        <v/>
      </c>
      <c r="E48" s="26">
        <f>SUM(E49)</f>
        <v/>
      </c>
      <c r="F48" s="26">
        <f>SUM(F49:F49)</f>
        <v/>
      </c>
      <c r="G48" s="26">
        <f>SUM(G49)</f>
        <v/>
      </c>
      <c r="J48" s="169" t="n">
        <v>76</v>
      </c>
      <c r="K48" s="14" t="inlineStr">
        <is>
          <t>Produits financiers</t>
        </is>
      </c>
      <c r="L48" s="24" t="inlineStr">
        <is>
          <t>Produits financiers</t>
        </is>
      </c>
      <c r="M48" s="42">
        <f>SUM(M49)</f>
        <v/>
      </c>
      <c r="N48" s="42">
        <f>SUM(N49)</f>
        <v/>
      </c>
      <c r="O48" s="42">
        <f>SUM(O49)</f>
        <v/>
      </c>
      <c r="P48" s="42">
        <f>SUM(P49)</f>
        <v/>
      </c>
    </row>
    <row r="49" ht="15" customHeight="1" thickBot="1">
      <c r="A49" s="165" t="n"/>
      <c r="B49" s="166" t="n"/>
      <c r="C49" s="6" t="inlineStr">
        <is>
          <t>Charges financières(intérêts, agios, …)</t>
        </is>
      </c>
      <c r="D49" s="45" t="n"/>
      <c r="E49" s="44" t="n"/>
      <c r="F49" s="37">
        <f>SUMIF(Charges!J:J,C49,Charges!K:K)</f>
        <v/>
      </c>
      <c r="G49" s="49" t="n"/>
      <c r="J49" s="165" t="n"/>
      <c r="K49" s="31" t="n"/>
      <c r="L49" s="3" t="inlineStr">
        <is>
          <t>Produits financiers</t>
        </is>
      </c>
      <c r="M49" s="45" t="n">
        <v>0</v>
      </c>
      <c r="N49" s="44" t="n"/>
      <c r="O49" s="37">
        <f>SUMIF(Produits!J:J,L49,Produits!K:K)</f>
        <v/>
      </c>
      <c r="P49" s="49" t="n"/>
    </row>
    <row r="50" ht="14.4" customHeight="1" thickBot="1">
      <c r="A50" s="170" t="n">
        <v>67</v>
      </c>
      <c r="B50" s="171" t="inlineStr">
        <is>
          <t>Charges exceptionnelles (amendes,…)</t>
        </is>
      </c>
      <c r="C50" s="25" t="inlineStr">
        <is>
          <t>Charges exceptionnelles (amendes,…)</t>
        </is>
      </c>
      <c r="D50" s="26">
        <f>SUM(D51)</f>
        <v/>
      </c>
      <c r="E50" s="26">
        <f>SUM(E51)</f>
        <v/>
      </c>
      <c r="F50" s="26">
        <f>SUM(F51)</f>
        <v/>
      </c>
      <c r="G50" s="26">
        <f>SUM(G51)</f>
        <v/>
      </c>
      <c r="J50" s="169" t="n">
        <v>77</v>
      </c>
      <c r="K50" s="162" t="inlineStr">
        <is>
          <t>Produits financiers</t>
        </is>
      </c>
      <c r="L50" s="24" t="inlineStr">
        <is>
          <t>Produits exceptionnels</t>
        </is>
      </c>
      <c r="M50" s="42">
        <f>SUM(M51)</f>
        <v/>
      </c>
      <c r="N50" s="42">
        <f>SUM(N51)</f>
        <v/>
      </c>
      <c r="O50" s="42">
        <f>SUM(O51)</f>
        <v/>
      </c>
      <c r="P50" s="42">
        <f>SUM(P51)</f>
        <v/>
      </c>
    </row>
    <row r="51" ht="14.4" customHeight="1" thickBot="1">
      <c r="A51" s="165" t="n"/>
      <c r="B51" s="166" t="n"/>
      <c r="C51" s="6" t="inlineStr">
        <is>
          <t>Charges exceptionnelles (amendes,…)</t>
        </is>
      </c>
      <c r="D51" s="45" t="n">
        <v>0</v>
      </c>
      <c r="E51" s="44" t="n"/>
      <c r="F51" s="37">
        <f>SUMIF(Charges!J:J,C51,Charges!K:K)</f>
        <v/>
      </c>
      <c r="G51" s="49" t="n"/>
      <c r="J51" s="165" t="n"/>
      <c r="K51" s="166" t="n"/>
      <c r="L51" s="14" t="inlineStr">
        <is>
          <t>Produits exceptionnels</t>
        </is>
      </c>
      <c r="M51" s="94" t="n">
        <v>0</v>
      </c>
      <c r="N51" s="44" t="n"/>
      <c r="O51" s="37">
        <f>SUMIF(Produits!J:J,L51,Produits!K:K)</f>
        <v/>
      </c>
      <c r="P51" s="84" t="n"/>
    </row>
    <row r="52" ht="14.4" customHeight="1" thickBot="1">
      <c r="A52" s="170" t="n">
        <v>68</v>
      </c>
      <c r="B52" s="171" t="inlineStr">
        <is>
          <t>Dotations aux amortissements et aux provisions</t>
        </is>
      </c>
      <c r="C52" s="25" t="inlineStr">
        <is>
          <t>Dotations aux amortissements et aux provisions</t>
        </is>
      </c>
      <c r="D52" s="26">
        <f>SUM(D53)</f>
        <v/>
      </c>
      <c r="E52" s="26">
        <f>SUM(E53)</f>
        <v/>
      </c>
      <c r="F52" s="26">
        <f>SUM(F53)</f>
        <v/>
      </c>
      <c r="G52" s="26">
        <f>SUM(G53)</f>
        <v/>
      </c>
      <c r="J52" s="169" t="n">
        <v>78</v>
      </c>
      <c r="K52" s="162" t="inlineStr">
        <is>
          <t>Reprises sur amortissemenet et provision</t>
        </is>
      </c>
      <c r="L52" s="24" t="inlineStr">
        <is>
          <t>Reprises sur amortissemenet et provision</t>
        </is>
      </c>
      <c r="M52" s="42">
        <f>SUM(M53)</f>
        <v/>
      </c>
      <c r="N52" s="42">
        <f>SUM(N53)</f>
        <v/>
      </c>
      <c r="O52" s="42">
        <f>SUM(O53)</f>
        <v/>
      </c>
      <c r="P52" s="42">
        <f>SUM(P53)</f>
        <v/>
      </c>
    </row>
    <row r="53" ht="14.4" customHeight="1" thickBot="1">
      <c r="A53" s="165" t="n"/>
      <c r="B53" s="166" t="n"/>
      <c r="C53" s="6" t="inlineStr">
        <is>
          <t>Dotations aux amortissements et aux provisions</t>
        </is>
      </c>
      <c r="D53" s="45" t="n">
        <v>0</v>
      </c>
      <c r="E53" s="44" t="n"/>
      <c r="F53" s="37">
        <f>SUMIF(Charges!J:J,C53,Charges!K:K)</f>
        <v/>
      </c>
      <c r="G53" s="49" t="n"/>
      <c r="J53" s="165" t="n"/>
      <c r="K53" s="166" t="n"/>
      <c r="L53" s="14" t="inlineStr">
        <is>
          <t>Reprises sur amortissemenet et provision</t>
        </is>
      </c>
      <c r="M53" s="94" t="n">
        <v>0</v>
      </c>
      <c r="N53" s="44" t="n"/>
      <c r="O53" s="37">
        <f>SUMIF(Produits!J:J,L53,Produits!K:K)</f>
        <v/>
      </c>
      <c r="P53" s="84" t="n"/>
    </row>
    <row r="54" ht="14.4" customHeight="1" thickBot="1">
      <c r="A54" s="170" t="n">
        <v>69</v>
      </c>
      <c r="B54" s="171" t="inlineStr">
        <is>
          <t>Impots  sur les bénéfices et assimilés</t>
        </is>
      </c>
      <c r="C54" s="25" t="inlineStr">
        <is>
          <t>Impots  sur les bénéfices et assimilés</t>
        </is>
      </c>
      <c r="D54" s="26">
        <f>SUM(D55)</f>
        <v/>
      </c>
      <c r="E54" s="26">
        <f>SUM(E55)</f>
        <v/>
      </c>
      <c r="F54" s="26">
        <f>SUM(F55)</f>
        <v/>
      </c>
      <c r="G54" s="26">
        <f>SUM(G55)</f>
        <v/>
      </c>
      <c r="J54" s="169" t="n">
        <v>79</v>
      </c>
      <c r="K54" s="162" t="inlineStr">
        <is>
          <t>Transferts de charges</t>
        </is>
      </c>
      <c r="L54" s="24" t="inlineStr">
        <is>
          <t>Transferts de charges</t>
        </is>
      </c>
      <c r="M54" s="42">
        <f>SUM(M55)</f>
        <v/>
      </c>
      <c r="N54" s="42">
        <f>SUM(N55)</f>
        <v/>
      </c>
      <c r="O54" s="42">
        <f>SUM(O55)</f>
        <v/>
      </c>
      <c r="P54" s="42">
        <f>SUM(P55)</f>
        <v/>
      </c>
    </row>
    <row r="55" ht="14.4" customHeight="1" thickBot="1">
      <c r="A55" s="165" t="n"/>
      <c r="B55" s="166" t="n"/>
      <c r="C55" s="6" t="inlineStr">
        <is>
          <t>Impots  sur les bénéfices et assimilés</t>
        </is>
      </c>
      <c r="D55" s="45" t="n">
        <v>0</v>
      </c>
      <c r="E55" s="44" t="n"/>
      <c r="F55" s="37">
        <f>SUMIF(Charges!J:J,C55,Charges!K:K)</f>
        <v/>
      </c>
      <c r="G55" s="49" t="n"/>
      <c r="J55" s="165" t="n"/>
      <c r="K55" s="166" t="n"/>
      <c r="L55" s="14" t="inlineStr">
        <is>
          <t>Salaires</t>
        </is>
      </c>
      <c r="M55" s="94" t="n">
        <v>0</v>
      </c>
      <c r="N55" s="44" t="n"/>
      <c r="O55" s="37">
        <f>SUMIF(Produits!J:J,L55,Produits!K:K)</f>
        <v/>
      </c>
      <c r="P55" s="84" t="n"/>
    </row>
    <row r="56" ht="14.4" customHeight="1" thickBot="1">
      <c r="A56" s="8" t="n"/>
      <c r="B56" s="9" t="inlineStr">
        <is>
          <t>TOTAL GENERAL DES CHARGES</t>
        </is>
      </c>
      <c r="C56" s="10" t="n"/>
      <c r="D56" s="27">
        <f>D54+D52+D50+D48+D42+D32+D30+D12+D4</f>
        <v/>
      </c>
      <c r="E56" s="27">
        <f>E54+E52+E50+E48+E42+E32+E30+E12+E4</f>
        <v/>
      </c>
      <c r="F56" s="28">
        <f>F54+F52+F50+F48+F42+F32+F30+F12+F4</f>
        <v/>
      </c>
      <c r="G56" s="29">
        <f>G54+G52+G50+G48+G42+G32+G30+G12+G4</f>
        <v/>
      </c>
      <c r="J56" s="8" t="n"/>
      <c r="K56" s="9" t="inlineStr">
        <is>
          <t>TOTAL GENERAL DES PRODUITS</t>
        </is>
      </c>
      <c r="L56" s="10" t="n"/>
      <c r="M56" s="28">
        <f>M54+M52+M50+M48+M42+M32+M30+M12+M4</f>
        <v/>
      </c>
      <c r="N56" s="28">
        <f>N54+N52+N50+N48+N42+N32+N30+N12+N4</f>
        <v/>
      </c>
      <c r="O56" s="28">
        <f>O54+O52+O50+O48+O42+O32+O30+O12+O4</f>
        <v/>
      </c>
      <c r="P56" s="29">
        <f>P54+P52+P50+P48+P42+P32+P30+P12+P4</f>
        <v/>
      </c>
    </row>
    <row r="57" ht="14.4" customHeight="1" thickBot="1">
      <c r="A57" s="8" t="n"/>
      <c r="B57" s="9" t="inlineStr">
        <is>
          <t>Excédent (si charges&lt;produits)</t>
        </is>
      </c>
      <c r="C57" s="10" t="n"/>
      <c r="D57" s="32">
        <f>M56-D56</f>
        <v/>
      </c>
      <c r="E57" s="32">
        <f>N56-E56</f>
        <v/>
      </c>
      <c r="F57" s="32">
        <f>O56-F56</f>
        <v/>
      </c>
      <c r="G57" s="32">
        <f>P56-G56</f>
        <v/>
      </c>
    </row>
    <row r="58" ht="14.4" customHeight="1" thickBot="1">
      <c r="D58" s="11" t="inlineStr">
        <is>
          <t>Exercice N-1</t>
        </is>
      </c>
      <c r="E58" s="11" t="inlineStr">
        <is>
          <t>Prévisionnel N</t>
        </is>
      </c>
      <c r="F58" s="11" t="inlineStr">
        <is>
          <t>Exercice N</t>
        </is>
      </c>
      <c r="G58" s="11" t="inlineStr">
        <is>
          <t>Prévisionnel N+1</t>
        </is>
      </c>
      <c r="K58" s="172" t="inlineStr">
        <is>
          <t>Solde bancaire</t>
        </is>
      </c>
      <c r="L58" s="172" t="inlineStr">
        <is>
          <t>solde bancaire au 31 août N</t>
        </is>
      </c>
    </row>
    <row r="59" ht="14.4" customHeight="1" thickBot="1">
      <c r="A59" s="8" t="n"/>
      <c r="B59" s="9" t="n"/>
      <c r="C59" s="10" t="inlineStr">
        <is>
          <t>Solde précédent (A nouveau)</t>
        </is>
      </c>
      <c r="D59" s="43" t="n">
        <v>0</v>
      </c>
      <c r="E59" s="29" t="n"/>
      <c r="F59" s="43">
        <f>D60</f>
        <v/>
      </c>
      <c r="G59" s="29" t="n"/>
      <c r="K59" s="41">
        <f>F59-SUMIFS(Charges!K:K,Charges!L:L,"=x")+SUMIFS(Produits!K:K,Produits!L:L,"=x")</f>
        <v/>
      </c>
      <c r="L59" s="110" t="n"/>
    </row>
    <row r="60" ht="14.4" customHeight="1" thickBot="1">
      <c r="A60" s="8" t="n"/>
      <c r="B60" s="9" t="n"/>
      <c r="C60" s="10" t="inlineStr">
        <is>
          <t>Résultat de la saison</t>
        </is>
      </c>
      <c r="D60" s="43">
        <f>D59+D57</f>
        <v/>
      </c>
      <c r="E60" s="29" t="n"/>
      <c r="F60" s="29">
        <f>F59+F57</f>
        <v/>
      </c>
      <c r="G60" s="29" t="n"/>
    </row>
    <row r="61" ht="14.4" customHeight="1" thickBot="1">
      <c r="A61" s="143" t="n"/>
      <c r="B61" s="143" t="n"/>
      <c r="C61" s="143" t="n"/>
      <c r="D61" s="144" t="n"/>
      <c r="E61" s="145" t="n"/>
      <c r="F61" s="145" t="n"/>
      <c r="G61" s="145" t="n"/>
      <c r="K61" s="41" t="inlineStr">
        <is>
          <t xml:space="preserve">Contrôle </t>
        </is>
      </c>
      <c r="L61" s="110">
        <f>+L59-F60</f>
        <v/>
      </c>
    </row>
    <row r="62">
      <c r="A62" s="143" t="n"/>
      <c r="B62" s="146" t="n"/>
      <c r="C62" s="147" t="inlineStr">
        <is>
          <t>Excédent (si charges&lt;produits)</t>
        </is>
      </c>
      <c r="D62" s="148" t="n"/>
      <c r="E62" s="148" t="n"/>
      <c r="F62" s="149">
        <f>F57</f>
        <v/>
      </c>
      <c r="G62" s="145" t="n"/>
    </row>
    <row r="63">
      <c r="A63" s="143" t="n"/>
      <c r="B63" s="146" t="n"/>
      <c r="C63" s="150" t="inlineStr">
        <is>
          <t>Cotisation des adhérents N+1 Exo N-1</t>
        </is>
      </c>
      <c r="F63" s="151">
        <f>M45</f>
        <v/>
      </c>
      <c r="G63" s="145" t="n"/>
    </row>
    <row r="64">
      <c r="A64" s="143" t="n"/>
      <c r="B64" s="146" t="n"/>
      <c r="C64" s="150" t="inlineStr">
        <is>
          <t>Cotisation des adhérents N+1 Exo N</t>
        </is>
      </c>
      <c r="F64" s="151">
        <f>-O45</f>
        <v/>
      </c>
      <c r="G64" s="145" t="n"/>
    </row>
    <row r="65">
      <c r="A65" s="143" t="n"/>
      <c r="B65" s="146" t="n"/>
      <c r="C65" s="150" t="n"/>
      <c r="F65" s="2" t="n"/>
      <c r="G65" s="145" t="n"/>
    </row>
    <row r="66">
      <c r="A66" s="143" t="n"/>
      <c r="B66" s="146" t="n"/>
      <c r="C66" s="152" t="inlineStr">
        <is>
          <t>Résultat (excédent/ déficit) Exo N</t>
        </is>
      </c>
      <c r="D66" s="153" t="n"/>
      <c r="E66" s="153" t="n"/>
      <c r="F66" s="154">
        <f>+F62+F63+F64</f>
        <v/>
      </c>
      <c r="G66" s="145" t="n"/>
    </row>
    <row r="67">
      <c r="A67" s="143" t="n"/>
      <c r="B67" s="143" t="n"/>
      <c r="C67" s="143" t="n"/>
      <c r="D67" s="144" t="n"/>
      <c r="E67" s="145" t="n"/>
      <c r="F67" s="145" t="n"/>
      <c r="G67" s="145" t="n"/>
    </row>
    <row r="68">
      <c r="A68" s="143" t="n"/>
      <c r="B68" s="143" t="n"/>
      <c r="C68" s="143" t="n"/>
      <c r="D68" s="144" t="n"/>
      <c r="E68" s="145" t="n"/>
      <c r="F68" s="145" t="n"/>
      <c r="G68" s="145" t="n"/>
    </row>
    <row r="69" ht="14.4" customHeight="1" thickBot="1"/>
    <row r="70" ht="14.4" customHeight="1" thickBot="1">
      <c r="C70" s="24" t="inlineStr">
        <is>
          <t>Cotisation</t>
        </is>
      </c>
      <c r="D70" s="25" t="inlineStr">
        <is>
          <t>Montant</t>
        </is>
      </c>
      <c r="E70" s="52" t="inlineStr">
        <is>
          <t>Nombre adhérents</t>
        </is>
      </c>
    </row>
    <row r="71">
      <c r="C71" s="103" t="inlineStr">
        <is>
          <t>Mineur Résident</t>
        </is>
      </c>
      <c r="D71" s="104" t="n"/>
      <c r="E71" s="107" t="n"/>
    </row>
    <row r="72">
      <c r="C72" s="101" t="inlineStr">
        <is>
          <t>Mineur Non-Résident</t>
        </is>
      </c>
      <c r="D72" s="104" t="n"/>
      <c r="E72" s="108" t="n"/>
    </row>
    <row r="73">
      <c r="C73" s="101" t="inlineStr">
        <is>
          <t>Majeur Résident</t>
        </is>
      </c>
      <c r="D73" s="104" t="n"/>
      <c r="E73" s="108" t="n"/>
    </row>
    <row r="74" ht="14.4" customHeight="1" thickBot="1">
      <c r="C74" s="102" t="inlineStr">
        <is>
          <t>Majeur Non-Résident</t>
        </is>
      </c>
      <c r="D74" s="105" t="n"/>
      <c r="E74" s="109" t="n"/>
    </row>
    <row r="75" ht="14.4" customHeight="1" thickBot="1">
      <c r="D75" s="11" t="inlineStr">
        <is>
          <t>Total</t>
        </is>
      </c>
      <c r="E75" s="106">
        <f>SUM(E71:E74)</f>
        <v/>
      </c>
    </row>
  </sheetData>
  <sheetProtection selectLockedCells="1" selectUnlockedCells="0" algorithmName="SHA-512" sheet="1" objects="0" insertRows="1" insertHyperlinks="1" autoFilter="1" scenarios="0" formatColumns="1" deleteColumns="1" insertColumns="1" pivotTables="1" deleteRows="1" formatCells="1" saltValue="XSZDnSCN69HX12bzWV4VOg==" formatRows="1" sort="1" spinCount="100000" hashValue="uMApfw8vNNbFz15a8xS0/d2J8FXPs1AvKRFqS+kj+/SpnqRkLKKdpCEozW7IxWKTTg78lCPd9UD/In4R0eDlYA=="/>
  <mergeCells count="33">
    <mergeCell ref="K4:K11"/>
    <mergeCell ref="A48:A49"/>
    <mergeCell ref="K54:K55"/>
    <mergeCell ref="A4:A11"/>
    <mergeCell ref="B4:B11"/>
    <mergeCell ref="A12:A29"/>
    <mergeCell ref="B52:B53"/>
    <mergeCell ref="A54:A55"/>
    <mergeCell ref="A50:A51"/>
    <mergeCell ref="J2:P2"/>
    <mergeCell ref="B32:B41"/>
    <mergeCell ref="K50:K51"/>
    <mergeCell ref="B48:B49"/>
    <mergeCell ref="J54:J55"/>
    <mergeCell ref="B42:B47"/>
    <mergeCell ref="K52:K53"/>
    <mergeCell ref="J50:J51"/>
    <mergeCell ref="K32:K41"/>
    <mergeCell ref="K42:K47"/>
    <mergeCell ref="B54:B55"/>
    <mergeCell ref="B30:B31"/>
    <mergeCell ref="J4:J11"/>
    <mergeCell ref="J52:J53"/>
    <mergeCell ref="A42:A47"/>
    <mergeCell ref="A52:A53"/>
    <mergeCell ref="B12:B29"/>
    <mergeCell ref="A2:G2"/>
    <mergeCell ref="J32:J41"/>
    <mergeCell ref="B50:B51"/>
    <mergeCell ref="A32:A41"/>
    <mergeCell ref="J42:J47"/>
    <mergeCell ref="A30:A31"/>
    <mergeCell ref="J48:J49"/>
  </mergeCells>
  <pageMargins left="0.7" right="0.7" top="0.75" bottom="0.75" header="0.3" footer="0.3"/>
  <pageSetup orientation="landscape" paperSize="9" scale="72" horizontalDpi="4294967292" verticalDpi="4294967292"/>
</worksheet>
</file>

<file path=xl/worksheets/sheet3.xml><?xml version="1.0" encoding="utf-8"?>
<worksheet xmlns="http://schemas.openxmlformats.org/spreadsheetml/2006/main">
  <sheetPr>
    <tabColor rgb="FF92D050"/>
    <outlinePr summaryBelow="1" summaryRight="1"/>
    <pageSetUpPr/>
  </sheetPr>
  <dimension ref="A1:M2483"/>
  <sheetViews>
    <sheetView topLeftCell="D1" zoomScale="125" zoomScaleNormal="125" zoomScalePageLayoutView="125" workbookViewId="0">
      <selection activeCell="E3" sqref="E3"/>
    </sheetView>
  </sheetViews>
  <sheetFormatPr baseColWidth="10" defaultRowHeight="14.4"/>
  <cols>
    <col width="5.44140625" bestFit="1" customWidth="1" style="62" min="1" max="1"/>
    <col width="4.44140625" customWidth="1" style="60" min="2" max="2"/>
    <col width="21.44140625" customWidth="1" style="61" min="3" max="3"/>
    <col width="31.44140625" customWidth="1" style="69" min="4" max="4"/>
    <col width="10.88671875" customWidth="1" style="72" min="5" max="5"/>
    <col width="14.109375" bestFit="1" customWidth="1" style="72" min="6" max="6"/>
    <col width="10.88671875" customWidth="1" style="72" min="7" max="7"/>
    <col width="19.44140625" customWidth="1" style="72" min="8" max="8"/>
    <col width="35.44140625" bestFit="1" customWidth="1" style="72" min="9" max="9"/>
    <col width="37.88671875" bestFit="1" customWidth="1" style="72" min="10" max="10"/>
    <col width="10.88671875" customWidth="1" style="73" min="11" max="11"/>
    <col width="10.88671875" customWidth="1" style="77" min="12" max="12"/>
    <col hidden="1" style="62" min="13" max="13"/>
    <col width="11.5546875" customWidth="1" style="62" min="14" max="16384"/>
  </cols>
  <sheetData>
    <row r="1" ht="15" customHeight="1" thickBot="1">
      <c r="A1" s="62" t="inlineStr">
        <is>
          <t>Code</t>
        </is>
      </c>
      <c r="B1" s="57" t="inlineStr">
        <is>
          <t xml:space="preserve">N° </t>
        </is>
      </c>
      <c r="C1" s="57" t="inlineStr">
        <is>
          <t>N° de pièce Comptable</t>
        </is>
      </c>
      <c r="D1" s="63" t="inlineStr">
        <is>
          <t>Descriptif</t>
        </is>
      </c>
      <c r="E1" s="64" t="inlineStr">
        <is>
          <t>Date</t>
        </is>
      </c>
      <c r="F1" s="64" t="inlineStr">
        <is>
          <t>Type</t>
        </is>
      </c>
      <c r="G1" s="64" t="inlineStr">
        <is>
          <t>N° chèque</t>
        </is>
      </c>
      <c r="H1" s="64" t="inlineStr">
        <is>
          <t>Tiers</t>
        </is>
      </c>
      <c r="I1" s="65" t="inlineStr">
        <is>
          <t>Rubrique</t>
        </is>
      </c>
      <c r="J1" s="66" t="inlineStr">
        <is>
          <t>Thème</t>
        </is>
      </c>
      <c r="K1" s="67" t="inlineStr">
        <is>
          <t>Montant</t>
        </is>
      </c>
      <c r="L1" s="68" t="inlineStr">
        <is>
          <t>Banque</t>
        </is>
      </c>
    </row>
    <row r="2">
      <c r="A2" s="62" t="inlineStr">
        <is>
          <t>C</t>
        </is>
      </c>
      <c r="B2" s="58" t="n">
        <v>1</v>
      </c>
      <c r="C2" s="59">
        <f>IF(B2&lt;&gt;" ",CONCATENATE(A2,B2)," ")</f>
        <v/>
      </c>
      <c r="D2" s="69" t="inlineStr">
        <is>
          <t>Ma première charge</t>
        </is>
      </c>
      <c r="E2" s="70" t="n">
        <v>45954</v>
      </c>
      <c r="F2" s="71" t="inlineStr">
        <is>
          <t>Chèque</t>
        </is>
      </c>
      <c r="H2" s="72" t="inlineStr">
        <is>
          <t>Mon fournisseur</t>
        </is>
      </c>
      <c r="I2" s="71" t="inlineStr">
        <is>
          <t>Charges</t>
        </is>
      </c>
      <c r="J2" s="71" t="inlineStr">
        <is>
          <t>Entretien et travaux</t>
        </is>
      </c>
      <c r="K2" s="73" t="n">
        <v>1000</v>
      </c>
      <c r="L2" s="74" t="n"/>
      <c r="M2" s="62">
        <f>OFFSET(Liste!E$7,0,VLOOKUP(I4,Liste!$A$14:$C$22,2,FALSE)-1,VLOOKUP(I4,Liste!$A$14:$C$22,3,FALSE),1)</f>
        <v/>
      </c>
    </row>
    <row r="3">
      <c r="A3" s="62" t="inlineStr">
        <is>
          <t>C</t>
        </is>
      </c>
      <c r="B3" s="60">
        <f>IF(E3&gt;1/1/2001,B2+1," ")</f>
        <v/>
      </c>
      <c r="C3" s="59">
        <f>IF(B3&lt;&gt;" ",CONCATENATE(A3,B3)," ")</f>
        <v/>
      </c>
      <c r="D3" s="75" t="n"/>
      <c r="E3" s="70" t="n"/>
      <c r="F3" s="71" t="n"/>
      <c r="I3" s="71" t="n"/>
      <c r="J3" s="71" t="n"/>
      <c r="L3" s="74" t="n"/>
    </row>
    <row r="4">
      <c r="A4" s="62" t="inlineStr">
        <is>
          <t>C</t>
        </is>
      </c>
      <c r="B4" s="60">
        <f>IF(E4&gt;1/1/2001,B3+1," ")</f>
        <v/>
      </c>
      <c r="C4" s="59">
        <f>IF(B4&lt;&gt;" ",CONCATENATE(A4,B4)," ")</f>
        <v/>
      </c>
      <c r="D4" s="75" t="n"/>
      <c r="E4" s="76" t="n"/>
      <c r="F4" s="71" t="n"/>
      <c r="H4" s="71" t="n"/>
      <c r="I4" s="71" t="n"/>
      <c r="J4" s="71" t="n"/>
      <c r="L4" s="74" t="n"/>
    </row>
    <row r="5">
      <c r="A5" s="62" t="inlineStr">
        <is>
          <t>C</t>
        </is>
      </c>
      <c r="B5" s="60">
        <f>IF(E5&gt;1/1/2001,B4+1," ")</f>
        <v/>
      </c>
      <c r="C5" s="59">
        <f>IF(B5&lt;&gt;" ",CONCATENATE(A5,B5)," ")</f>
        <v/>
      </c>
      <c r="D5" s="75" t="n"/>
      <c r="E5" s="76" t="n"/>
      <c r="F5" s="71" t="n"/>
      <c r="H5" s="71" t="n"/>
      <c r="I5" s="71" t="n"/>
      <c r="J5" s="71" t="n"/>
      <c r="L5" s="74" t="n"/>
    </row>
    <row r="6">
      <c r="A6" s="62" t="inlineStr">
        <is>
          <t>C</t>
        </is>
      </c>
      <c r="B6" s="60">
        <f>IF(E6&gt;1/1/2001,B5+1," ")</f>
        <v/>
      </c>
      <c r="C6" s="59">
        <f>IF(B6&lt;&gt;" ",CONCATENATE(A6,B6)," ")</f>
        <v/>
      </c>
      <c r="D6" s="75" t="n"/>
      <c r="E6" s="76" t="n"/>
      <c r="F6" s="71" t="n"/>
      <c r="H6" s="71" t="n"/>
      <c r="I6" s="71" t="n"/>
      <c r="J6" s="71" t="n"/>
      <c r="L6" s="74" t="n"/>
    </row>
    <row r="7">
      <c r="A7" s="62" t="inlineStr">
        <is>
          <t>C</t>
        </is>
      </c>
      <c r="B7" s="60">
        <f>IF(E7&gt;1/1/2001,B6+1," ")</f>
        <v/>
      </c>
      <c r="C7" s="59">
        <f>IF(B7&lt;&gt;" ",CONCATENATE(A7,B7)," ")</f>
        <v/>
      </c>
      <c r="E7" s="70" t="n"/>
      <c r="J7" s="71" t="n"/>
      <c r="L7" s="74" t="n"/>
    </row>
    <row r="8">
      <c r="A8" s="62" t="inlineStr">
        <is>
          <t>C</t>
        </is>
      </c>
      <c r="B8" s="60">
        <f>IF(E8&gt;1/1/2001,B7+1," ")</f>
        <v/>
      </c>
      <c r="C8" s="59">
        <f>IF(B8&lt;&gt;" ",CONCATENATE(A8,B8)," ")</f>
        <v/>
      </c>
      <c r="E8" s="70" t="n"/>
      <c r="J8" s="71" t="n"/>
      <c r="L8" s="74" t="n"/>
    </row>
    <row r="9">
      <c r="A9" s="62" t="inlineStr">
        <is>
          <t>C</t>
        </is>
      </c>
      <c r="B9" s="60">
        <f>IF(E9&gt;1/1/2001,B8+1," ")</f>
        <v/>
      </c>
      <c r="C9" s="59">
        <f>IF(B9&lt;&gt;" ",CONCATENATE(A9,B9)," ")</f>
        <v/>
      </c>
      <c r="E9" s="70" t="n"/>
      <c r="J9" s="71" t="n"/>
    </row>
    <row r="10">
      <c r="A10" s="62" t="inlineStr">
        <is>
          <t>C</t>
        </is>
      </c>
      <c r="B10" s="60">
        <f>IF(E10&gt;1/1/2001,B9+1," ")</f>
        <v/>
      </c>
      <c r="C10" s="59">
        <f>IF(B10&lt;&gt;" ",CONCATENATE(A10,B10)," ")</f>
        <v/>
      </c>
      <c r="D10" s="75" t="n"/>
      <c r="E10" s="76" t="n"/>
      <c r="F10" s="71" t="n"/>
      <c r="H10" s="71" t="n"/>
      <c r="I10" s="71" t="n"/>
      <c r="J10" s="71" t="n"/>
      <c r="L10" s="74" t="n"/>
    </row>
    <row r="11">
      <c r="A11" s="62" t="inlineStr">
        <is>
          <t>C</t>
        </is>
      </c>
      <c r="B11" s="60">
        <f>IF(E11&gt;1/1/2001,B10+1," ")</f>
        <v/>
      </c>
      <c r="C11" s="59">
        <f>IF(B11&lt;&gt;" ",CONCATENATE(A11,B11)," ")</f>
        <v/>
      </c>
      <c r="D11" s="75" t="n"/>
      <c r="E11" s="76" t="n"/>
      <c r="F11" s="71" t="n"/>
      <c r="H11" s="71" t="n"/>
      <c r="I11" s="71" t="n"/>
      <c r="J11" s="71" t="n"/>
      <c r="L11" s="74" t="n"/>
    </row>
    <row r="12">
      <c r="A12" s="62" t="inlineStr">
        <is>
          <t>C</t>
        </is>
      </c>
      <c r="B12" s="60">
        <f>IF(E12&gt;1/1/2001,B11+1," ")</f>
        <v/>
      </c>
      <c r="C12" s="59">
        <f>IF(B12&lt;&gt;" ",CONCATENATE(A12,B12)," ")</f>
        <v/>
      </c>
      <c r="D12" s="75" t="n"/>
      <c r="E12" s="70" t="n"/>
      <c r="F12" s="71" t="n"/>
      <c r="I12" s="71" t="n"/>
      <c r="J12" s="71" t="n"/>
      <c r="L12" s="74" t="n"/>
    </row>
    <row r="13">
      <c r="A13" s="62" t="inlineStr">
        <is>
          <t>C</t>
        </is>
      </c>
      <c r="B13" s="60">
        <f>IF(E13&gt;1/1/2001,B12+1," ")</f>
        <v/>
      </c>
      <c r="C13" s="59">
        <f>IF(B13&lt;&gt;" ",CONCATENATE(A13,B13)," ")</f>
        <v/>
      </c>
      <c r="D13" s="75" t="n"/>
      <c r="E13" s="76" t="n"/>
      <c r="F13" s="71" t="n"/>
      <c r="H13" s="71" t="n"/>
      <c r="I13" s="71" t="n"/>
      <c r="J13" s="71" t="n"/>
      <c r="L13" s="74" t="n"/>
    </row>
    <row r="14">
      <c r="A14" s="62" t="inlineStr">
        <is>
          <t>C</t>
        </is>
      </c>
      <c r="B14" s="60">
        <f>IF(E14&gt;1/1/2001,B13+1," ")</f>
        <v/>
      </c>
      <c r="C14" s="59">
        <f>IF(B14&lt;&gt;" ",CONCATENATE(A14,B14)," ")</f>
        <v/>
      </c>
      <c r="E14" s="76" t="n"/>
      <c r="F14" s="71" t="n"/>
      <c r="H14" s="71" t="n"/>
      <c r="I14" s="71" t="n"/>
      <c r="J14" s="71" t="n"/>
    </row>
    <row r="15">
      <c r="A15" s="62" t="inlineStr">
        <is>
          <t>C</t>
        </is>
      </c>
      <c r="B15" s="60">
        <f>IF(E15&gt;1/1/2001,B14+1," ")</f>
        <v/>
      </c>
      <c r="C15" s="59">
        <f>IF(B15&lt;&gt;" ",CONCATENATE(A15,B15)," ")</f>
        <v/>
      </c>
      <c r="D15" s="78" t="n"/>
      <c r="E15" s="76" t="n"/>
      <c r="F15" s="71" t="n"/>
      <c r="H15" s="71" t="n"/>
      <c r="I15" s="71" t="n"/>
      <c r="J15" s="71" t="n"/>
    </row>
    <row r="16">
      <c r="A16" s="62" t="inlineStr">
        <is>
          <t>C</t>
        </is>
      </c>
      <c r="B16" s="60">
        <f>IF(E16&gt;1/1/2001,B15+1," ")</f>
        <v/>
      </c>
      <c r="C16" s="59">
        <f>IF(B16&lt;&gt;" ",CONCATENATE(A16,B16)," ")</f>
        <v/>
      </c>
      <c r="D16" s="78" t="n"/>
      <c r="E16" s="76" t="n"/>
      <c r="F16" s="71" t="n"/>
      <c r="H16" s="71" t="n"/>
      <c r="I16" s="71" t="n"/>
      <c r="J16" s="71" t="n"/>
    </row>
    <row r="17">
      <c r="A17" s="62" t="inlineStr">
        <is>
          <t>C</t>
        </is>
      </c>
      <c r="B17" s="60">
        <f>IF(E17&gt;1/1/2001,B16+1," ")</f>
        <v/>
      </c>
      <c r="C17" s="59">
        <f>IF(B17&lt;&gt;" ",CONCATENATE(A17,B17)," ")</f>
        <v/>
      </c>
      <c r="E17" s="70" t="n"/>
      <c r="J17" s="71" t="n"/>
      <c r="L17" s="74" t="n"/>
    </row>
    <row r="18">
      <c r="A18" s="62" t="inlineStr">
        <is>
          <t>C</t>
        </is>
      </c>
      <c r="B18" s="60">
        <f>IF(E18&gt;1/1/2001,B17+1," ")</f>
        <v/>
      </c>
      <c r="C18" s="59">
        <f>IF(B18&lt;&gt;" ",CONCATENATE(A18,B18)," ")</f>
        <v/>
      </c>
      <c r="E18" s="70" t="n"/>
      <c r="J18" s="71" t="n"/>
    </row>
    <row r="19">
      <c r="A19" s="62" t="inlineStr">
        <is>
          <t>C</t>
        </is>
      </c>
      <c r="B19" s="60">
        <f>IF(E19&gt;1/1/2001,B18+1," ")</f>
        <v/>
      </c>
      <c r="C19" s="59">
        <f>IF(B19&lt;&gt;" ",CONCATENATE(A19,B19)," ")</f>
        <v/>
      </c>
      <c r="E19" s="70" t="n"/>
      <c r="J19" s="71" t="n"/>
    </row>
    <row r="20">
      <c r="A20" s="62" t="inlineStr">
        <is>
          <t>C</t>
        </is>
      </c>
      <c r="B20" s="60">
        <f>IF(E20&gt;1/1/2001,B19+1," ")</f>
        <v/>
      </c>
      <c r="C20" s="59">
        <f>IF(B20&lt;&gt;" ",CONCATENATE(A20,B20)," ")</f>
        <v/>
      </c>
      <c r="E20" s="70" t="n"/>
      <c r="J20" s="71" t="n"/>
    </row>
    <row r="21">
      <c r="A21" s="62" t="inlineStr">
        <is>
          <t>C</t>
        </is>
      </c>
      <c r="B21" s="60">
        <f>IF(E21&gt;1/1/2001,B20+1," ")</f>
        <v/>
      </c>
      <c r="C21" s="59">
        <f>IF(B21&lt;&gt;" ",CONCATENATE(A21,B21)," ")</f>
        <v/>
      </c>
      <c r="E21" s="70" t="n"/>
      <c r="J21" s="71" t="n"/>
    </row>
    <row r="22">
      <c r="A22" s="62" t="inlineStr">
        <is>
          <t>C</t>
        </is>
      </c>
      <c r="B22" s="60">
        <f>IF(E22&gt;1/1/2001,B21+1," ")</f>
        <v/>
      </c>
      <c r="C22" s="59">
        <f>IF(B22&lt;&gt;" ",CONCATENATE(A22,B22)," ")</f>
        <v/>
      </c>
      <c r="E22" s="70" t="n"/>
      <c r="J22" s="71" t="n"/>
    </row>
    <row r="23">
      <c r="A23" s="62" t="inlineStr">
        <is>
          <t>C</t>
        </is>
      </c>
      <c r="B23" s="60">
        <f>IF(E23&gt;1/1/2001,B22+1," ")</f>
        <v/>
      </c>
      <c r="C23" s="59">
        <f>IF(B23&lt;&gt;" ",CONCATENATE(A23,B23)," ")</f>
        <v/>
      </c>
      <c r="E23" s="70" t="n"/>
      <c r="J23" s="71" t="n"/>
    </row>
    <row r="24">
      <c r="A24" s="62" t="inlineStr">
        <is>
          <t>C</t>
        </is>
      </c>
      <c r="B24" s="60">
        <f>IF(E24&gt;1/1/2001,B23+1," ")</f>
        <v/>
      </c>
      <c r="C24" s="59">
        <f>IF(B24&lt;&gt;" ",CONCATENATE(A24,B24)," ")</f>
        <v/>
      </c>
      <c r="E24" s="70" t="n"/>
      <c r="J24" s="71" t="n"/>
    </row>
    <row r="25">
      <c r="A25" s="62" t="inlineStr">
        <is>
          <t>C</t>
        </is>
      </c>
      <c r="B25" s="60">
        <f>IF(E25&gt;1/1/2001,B24+1," ")</f>
        <v/>
      </c>
      <c r="C25" s="59">
        <f>IF(B25&lt;&gt;" ",CONCATENATE(A25,B25)," ")</f>
        <v/>
      </c>
      <c r="E25" s="70" t="n"/>
      <c r="J25" s="71" t="n"/>
    </row>
    <row r="26">
      <c r="A26" s="62" t="inlineStr">
        <is>
          <t>C</t>
        </is>
      </c>
      <c r="B26" s="60">
        <f>IF(E26&gt;1/1/2001,B25+1," ")</f>
        <v/>
      </c>
      <c r="C26" s="59">
        <f>IF(B26&lt;&gt;" ",CONCATENATE(A26,B26)," ")</f>
        <v/>
      </c>
      <c r="E26" s="76" t="n"/>
      <c r="F26" s="71" t="n"/>
      <c r="H26" s="71" t="n"/>
      <c r="I26" s="71" t="n"/>
      <c r="J26" s="71" t="n"/>
    </row>
    <row r="27">
      <c r="A27" s="62" t="inlineStr">
        <is>
          <t>C</t>
        </is>
      </c>
      <c r="B27" s="60">
        <f>IF(E27&gt;1/1/2001,B26+1," ")</f>
        <v/>
      </c>
      <c r="C27" s="59">
        <f>IF(B27&lt;&gt;" ",CONCATENATE(A27,B27)," ")</f>
        <v/>
      </c>
      <c r="E27" s="76" t="n"/>
      <c r="F27" s="71" t="n"/>
      <c r="H27" s="71" t="n"/>
      <c r="I27" s="71" t="n"/>
      <c r="J27" s="71" t="n"/>
    </row>
    <row r="28">
      <c r="A28" s="62" t="inlineStr">
        <is>
          <t>C</t>
        </is>
      </c>
      <c r="B28" s="60">
        <f>IF(E28&gt;1/1/2001,B27+1," ")</f>
        <v/>
      </c>
      <c r="C28" s="59">
        <f>IF(B28&lt;&gt;" ",CONCATENATE(A28,B28)," ")</f>
        <v/>
      </c>
      <c r="E28" s="76" t="n"/>
      <c r="F28" s="71" t="n"/>
      <c r="H28" s="71" t="n"/>
      <c r="I28" s="71" t="n"/>
      <c r="J28" s="71" t="n"/>
    </row>
    <row r="29">
      <c r="A29" s="62" t="inlineStr">
        <is>
          <t>C</t>
        </is>
      </c>
      <c r="B29" s="60">
        <f>IF(E29&gt;1/1/2001,B28+1," ")</f>
        <v/>
      </c>
      <c r="C29" s="59">
        <f>IF(B29&lt;&gt;" ",CONCATENATE(A29,B29)," ")</f>
        <v/>
      </c>
      <c r="E29" s="76" t="n"/>
      <c r="F29" s="71" t="n"/>
      <c r="H29" s="71" t="n"/>
      <c r="I29" s="71" t="n"/>
      <c r="J29" s="71" t="n"/>
    </row>
    <row r="30">
      <c r="A30" s="62" t="inlineStr">
        <is>
          <t>C</t>
        </is>
      </c>
      <c r="B30" s="60">
        <f>IF(E30&gt;1/1/2001,B29+1," ")</f>
        <v/>
      </c>
      <c r="C30" s="59">
        <f>IF(B30&lt;&gt;" ",CONCATENATE(A30,B30)," ")</f>
        <v/>
      </c>
      <c r="E30" s="76" t="n"/>
      <c r="F30" s="71" t="n"/>
      <c r="H30" s="71" t="n"/>
      <c r="I30" s="71" t="n"/>
      <c r="J30" s="71" t="n"/>
    </row>
    <row r="31">
      <c r="A31" s="62" t="inlineStr">
        <is>
          <t>C</t>
        </is>
      </c>
      <c r="B31" s="60">
        <f>IF(E31&gt;1/1/2001,B30+1," ")</f>
        <v/>
      </c>
      <c r="C31" s="59">
        <f>IF(B31&lt;&gt;" ",CONCATENATE(A31,B31)," ")</f>
        <v/>
      </c>
      <c r="E31" s="70" t="n"/>
      <c r="J31" s="71" t="n"/>
    </row>
    <row r="32">
      <c r="A32" s="62" t="inlineStr">
        <is>
          <t>C</t>
        </is>
      </c>
      <c r="B32" s="60">
        <f>IF(E32&gt;1/1/2001,B31+1," ")</f>
        <v/>
      </c>
      <c r="C32" s="59">
        <f>IF(B32&lt;&gt;" ",CONCATENATE(A32,B32)," ")</f>
        <v/>
      </c>
      <c r="E32" s="70" t="n"/>
      <c r="J32" s="71" t="n"/>
    </row>
    <row r="33">
      <c r="A33" s="62" t="inlineStr">
        <is>
          <t>C</t>
        </is>
      </c>
      <c r="B33" s="60">
        <f>IF(E33&gt;1/1/2001,B32+1," ")</f>
        <v/>
      </c>
      <c r="C33" s="59">
        <f>IF(B33&lt;&gt;" ",CONCATENATE(A33,B33)," ")</f>
        <v/>
      </c>
      <c r="E33" s="70" t="n"/>
      <c r="J33" s="71" t="n"/>
    </row>
    <row r="34">
      <c r="A34" s="62" t="inlineStr">
        <is>
          <t>C</t>
        </is>
      </c>
      <c r="B34" s="60">
        <f>IF(E34&gt;1/1/2001,B33+1," ")</f>
        <v/>
      </c>
      <c r="C34" s="59">
        <f>IF(B34&lt;&gt;" ",CONCATENATE(A34,B34)," ")</f>
        <v/>
      </c>
      <c r="E34" s="70" t="n"/>
      <c r="J34" s="71" t="n"/>
    </row>
    <row r="35">
      <c r="A35" s="62" t="inlineStr">
        <is>
          <t>C</t>
        </is>
      </c>
      <c r="B35" s="60">
        <f>IF(E35&gt;1/1/2001,B34+1," ")</f>
        <v/>
      </c>
      <c r="C35" s="59">
        <f>IF(B35&lt;&gt;" ",CONCATENATE(A35,B35)," ")</f>
        <v/>
      </c>
      <c r="E35" s="70" t="n"/>
      <c r="J35" s="71" t="n"/>
    </row>
    <row r="36">
      <c r="A36" s="62" t="inlineStr">
        <is>
          <t>C</t>
        </is>
      </c>
      <c r="B36" s="60">
        <f>IF(E36&gt;1/1/2001,B35+1," ")</f>
        <v/>
      </c>
      <c r="C36" s="59">
        <f>IF(B36&lt;&gt;" ",CONCATENATE(A36,B36)," ")</f>
        <v/>
      </c>
      <c r="E36" s="70" t="n"/>
      <c r="I36" s="71" t="n"/>
      <c r="J36" s="71" t="n"/>
    </row>
    <row r="37">
      <c r="A37" s="62" t="inlineStr">
        <is>
          <t>C</t>
        </is>
      </c>
      <c r="B37" s="60">
        <f>IF(E37&gt;1/1/2001,B36+1," ")</f>
        <v/>
      </c>
      <c r="C37" s="59">
        <f>IF(B37&lt;&gt;" ",CONCATENATE(A37,B37)," ")</f>
        <v/>
      </c>
      <c r="E37" s="70" t="n"/>
      <c r="I37" s="71" t="n"/>
      <c r="J37" s="71" t="n"/>
    </row>
    <row r="38">
      <c r="A38" s="62" t="inlineStr">
        <is>
          <t>C</t>
        </is>
      </c>
      <c r="B38" s="60">
        <f>IF(E38&gt;1/1/2001,B37+1," ")</f>
        <v/>
      </c>
      <c r="C38" s="59">
        <f>IF(B38&lt;&gt;" ",CONCATENATE(A38,B38)," ")</f>
        <v/>
      </c>
      <c r="E38" s="70" t="n"/>
      <c r="I38" s="71" t="n"/>
      <c r="J38" s="71" t="n"/>
    </row>
    <row r="39">
      <c r="A39" s="62" t="inlineStr">
        <is>
          <t>C</t>
        </is>
      </c>
      <c r="B39" s="60">
        <f>IF(E39&gt;1/1/2001,B38+1," ")</f>
        <v/>
      </c>
      <c r="C39" s="59">
        <f>IF(B39&lt;&gt;" ",CONCATENATE(A39,B39)," ")</f>
        <v/>
      </c>
      <c r="E39" s="70" t="n"/>
      <c r="I39" s="71" t="n"/>
      <c r="J39" s="71" t="n"/>
    </row>
    <row r="40">
      <c r="A40" s="62" t="inlineStr">
        <is>
          <t>C</t>
        </is>
      </c>
      <c r="B40" s="60">
        <f>IF(E40&gt;1/1/2001,B39+1," ")</f>
        <v/>
      </c>
      <c r="C40" s="59">
        <f>IF(B40&lt;&gt;" ",CONCATENATE(A40,B40)," ")</f>
        <v/>
      </c>
      <c r="E40" s="70" t="n"/>
      <c r="I40" s="71" t="n"/>
      <c r="J40" s="71" t="n"/>
    </row>
    <row r="41">
      <c r="A41" s="62" t="inlineStr">
        <is>
          <t>C</t>
        </is>
      </c>
      <c r="B41" s="60">
        <f>IF(E41&gt;1/1/2001,B40+1," ")</f>
        <v/>
      </c>
      <c r="C41" s="59">
        <f>IF(B41&lt;&gt;" ",CONCATENATE(A41,B41)," ")</f>
        <v/>
      </c>
      <c r="E41" s="70" t="n"/>
      <c r="I41" s="71" t="n"/>
      <c r="J41" s="71" t="n"/>
    </row>
    <row r="42">
      <c r="A42" s="62" t="inlineStr">
        <is>
          <t>C</t>
        </is>
      </c>
      <c r="B42" s="60">
        <f>IF(E42&gt;1/1/2001,B41+1," ")</f>
        <v/>
      </c>
      <c r="C42" s="59">
        <f>IF(B42&lt;&gt;" ",CONCATENATE(A42,B42)," ")</f>
        <v/>
      </c>
      <c r="E42" s="70" t="n"/>
      <c r="I42" s="71" t="n"/>
      <c r="J42" s="71" t="n"/>
    </row>
    <row r="43">
      <c r="A43" s="62" t="inlineStr">
        <is>
          <t>C</t>
        </is>
      </c>
      <c r="B43" s="60">
        <f>IF(E43&gt;1/1/2001,B42+1," ")</f>
        <v/>
      </c>
      <c r="C43" s="59">
        <f>IF(B43&lt;&gt;" ",CONCATENATE(A43,B43)," ")</f>
        <v/>
      </c>
      <c r="E43" s="70" t="n"/>
      <c r="I43" s="71" t="n"/>
      <c r="J43" s="71" t="n"/>
    </row>
    <row r="44">
      <c r="A44" s="62" t="inlineStr">
        <is>
          <t>C</t>
        </is>
      </c>
      <c r="B44" s="60">
        <f>IF(E44&gt;1/1/2001,B43+1," ")</f>
        <v/>
      </c>
      <c r="C44" s="59">
        <f>IF(B44&lt;&gt;" ",CONCATENATE(A44,B44)," ")</f>
        <v/>
      </c>
      <c r="E44" s="70" t="n"/>
      <c r="I44" s="71" t="n"/>
      <c r="J44" s="71" t="n"/>
    </row>
    <row r="45">
      <c r="A45" s="62" t="inlineStr">
        <is>
          <t>C</t>
        </is>
      </c>
      <c r="B45" s="60">
        <f>IF(E45&gt;1/1/2001,B44+1," ")</f>
        <v/>
      </c>
      <c r="C45" s="59">
        <f>IF(B45&lt;&gt;" ",CONCATENATE(A45,B45)," ")</f>
        <v/>
      </c>
      <c r="E45" s="70" t="n"/>
      <c r="I45" s="71" t="n"/>
      <c r="J45" s="71" t="n"/>
    </row>
    <row r="46">
      <c r="A46" s="62" t="inlineStr">
        <is>
          <t>C</t>
        </is>
      </c>
      <c r="B46" s="60">
        <f>IF(E46&gt;1/1/2001,B45+1," ")</f>
        <v/>
      </c>
      <c r="C46" s="59">
        <f>IF(B46&lt;&gt;" ",CONCATENATE(A46,B46)," ")</f>
        <v/>
      </c>
      <c r="E46" s="70" t="n"/>
      <c r="I46" s="71" t="n"/>
      <c r="J46" s="71" t="n"/>
    </row>
    <row r="47">
      <c r="A47" s="62" t="inlineStr">
        <is>
          <t>C</t>
        </is>
      </c>
      <c r="B47" s="60">
        <f>IF(E47&gt;1/1/2001,B46+1," ")</f>
        <v/>
      </c>
      <c r="C47" s="59">
        <f>IF(B47&lt;&gt;" ",CONCATENATE(A47,B47)," ")</f>
        <v/>
      </c>
      <c r="E47" s="70" t="n"/>
      <c r="J47" s="71" t="n"/>
    </row>
    <row r="48">
      <c r="A48" s="62" t="inlineStr">
        <is>
          <t>C</t>
        </is>
      </c>
      <c r="B48" s="60">
        <f>IF(E48&gt;1/1/2001,B47+1," ")</f>
        <v/>
      </c>
      <c r="C48" s="59">
        <f>IF(B48&lt;&gt;" ",CONCATENATE(A48,B48)," ")</f>
        <v/>
      </c>
      <c r="E48" s="70" t="n"/>
      <c r="J48" s="71" t="n"/>
    </row>
    <row r="49">
      <c r="A49" s="62" t="inlineStr">
        <is>
          <t>C</t>
        </is>
      </c>
      <c r="B49" s="60">
        <f>IF(E49&gt;1/1/2001,B48+1," ")</f>
        <v/>
      </c>
      <c r="C49" s="59">
        <f>IF(B49&lt;&gt;" ",CONCATENATE(A49,B49)," ")</f>
        <v/>
      </c>
      <c r="E49" s="70" t="n"/>
      <c r="J49" s="71" t="n"/>
    </row>
    <row r="50">
      <c r="A50" s="62" t="inlineStr">
        <is>
          <t>C</t>
        </is>
      </c>
      <c r="B50" s="60">
        <f>IF(E50&gt;1/1/2001,B49+1," ")</f>
        <v/>
      </c>
      <c r="C50" s="59">
        <f>IF(B50&lt;&gt;" ",CONCATENATE(A50,B50)," ")</f>
        <v/>
      </c>
      <c r="E50" s="70" t="n"/>
      <c r="J50" s="71" t="n"/>
    </row>
    <row r="51">
      <c r="A51" s="62" t="inlineStr">
        <is>
          <t>C</t>
        </is>
      </c>
      <c r="B51" s="60">
        <f>IF(E51&gt;1/1/2001,B50+1," ")</f>
        <v/>
      </c>
      <c r="C51" s="59">
        <f>IF(B51&lt;&gt;" ",CONCATENATE(A51,B51)," ")</f>
        <v/>
      </c>
      <c r="E51" s="70" t="n"/>
      <c r="J51" s="71" t="n"/>
    </row>
    <row r="52">
      <c r="A52" s="62" t="inlineStr">
        <is>
          <t>C</t>
        </is>
      </c>
      <c r="B52" s="60">
        <f>IF(E52&gt;1/1/2001,B51+1," ")</f>
        <v/>
      </c>
      <c r="C52" s="59">
        <f>IF(B52&lt;&gt;" ",CONCATENATE(A52,B52)," ")</f>
        <v/>
      </c>
      <c r="E52" s="70" t="n"/>
      <c r="J52" s="71" t="n"/>
    </row>
    <row r="53">
      <c r="A53" s="62" t="inlineStr">
        <is>
          <t>C</t>
        </is>
      </c>
      <c r="B53" s="60">
        <f>IF(E53&gt;1/1/2001,B52+1," ")</f>
        <v/>
      </c>
      <c r="C53" s="59">
        <f>IF(B53&lt;&gt;" ",CONCATENATE(A53,B53)," ")</f>
        <v/>
      </c>
      <c r="E53" s="70" t="n"/>
      <c r="J53" s="71" t="n"/>
    </row>
    <row r="54">
      <c r="A54" s="62" t="inlineStr">
        <is>
          <t>C</t>
        </is>
      </c>
      <c r="B54" s="60">
        <f>IF(E54&gt;1/1/2001,B53+1," ")</f>
        <v/>
      </c>
      <c r="C54" s="59">
        <f>IF(B54&lt;&gt;" ",CONCATENATE(A54,B54)," ")</f>
        <v/>
      </c>
      <c r="E54" s="70" t="n"/>
      <c r="J54" s="71" t="n"/>
    </row>
    <row r="55">
      <c r="A55" s="62" t="inlineStr">
        <is>
          <t>C</t>
        </is>
      </c>
      <c r="B55" s="60">
        <f>IF(E55&gt;1/1/2001,B54+1," ")</f>
        <v/>
      </c>
      <c r="C55" s="59">
        <f>IF(B55&lt;&gt;" ",CONCATENATE(A55,B55)," ")</f>
        <v/>
      </c>
      <c r="E55" s="70" t="n"/>
      <c r="J55" s="71" t="n"/>
    </row>
    <row r="56">
      <c r="A56" s="62" t="inlineStr">
        <is>
          <t>C</t>
        </is>
      </c>
      <c r="B56" s="60">
        <f>IF(E56&gt;1/1/2001,B55+1," ")</f>
        <v/>
      </c>
      <c r="C56" s="59">
        <f>IF(B56&lt;&gt;" ",CONCATENATE(A56,B56)," ")</f>
        <v/>
      </c>
      <c r="E56" s="70" t="n"/>
      <c r="J56" s="71" t="n"/>
    </row>
    <row r="57">
      <c r="A57" s="62" t="inlineStr">
        <is>
          <t>C</t>
        </is>
      </c>
      <c r="B57" s="60">
        <f>IF(E57&gt;1/1/2001,B56+1," ")</f>
        <v/>
      </c>
      <c r="C57" s="59">
        <f>IF(B57&lt;&gt;" ",CONCATENATE(A57,B57)," ")</f>
        <v/>
      </c>
      <c r="E57" s="70" t="n"/>
      <c r="J57" s="71" t="n"/>
    </row>
    <row r="58">
      <c r="A58" s="62" t="inlineStr">
        <is>
          <t>C</t>
        </is>
      </c>
      <c r="B58" s="60">
        <f>IF(E58&gt;1/1/2001,B57+1," ")</f>
        <v/>
      </c>
      <c r="C58" s="59">
        <f>IF(B58&lt;&gt;" ",CONCATENATE(A58,B58)," ")</f>
        <v/>
      </c>
      <c r="E58" s="70" t="n"/>
      <c r="J58" s="71" t="n"/>
    </row>
    <row r="59">
      <c r="A59" s="62" t="inlineStr">
        <is>
          <t>C</t>
        </is>
      </c>
      <c r="B59" s="60">
        <f>IF(E59&gt;1/1/2001,B58+1," ")</f>
        <v/>
      </c>
      <c r="C59" s="59">
        <f>IF(B59&lt;&gt;" ",CONCATENATE(A59,B59)," ")</f>
        <v/>
      </c>
      <c r="E59" s="70" t="n"/>
      <c r="J59" s="71" t="n"/>
    </row>
    <row r="60">
      <c r="A60" s="62" t="inlineStr">
        <is>
          <t>C</t>
        </is>
      </c>
      <c r="B60" s="60">
        <f>IF(E60&gt;1/1/2001,B59+1," ")</f>
        <v/>
      </c>
      <c r="C60" s="59">
        <f>IF(B60&lt;&gt;" ",CONCATENATE(A60,B60)," ")</f>
        <v/>
      </c>
      <c r="E60" s="70" t="n"/>
      <c r="J60" s="71" t="n"/>
    </row>
    <row r="61">
      <c r="A61" s="62" t="inlineStr">
        <is>
          <t>C</t>
        </is>
      </c>
      <c r="B61" s="60">
        <f>IF(E61&gt;1/1/2001,B60+1," ")</f>
        <v/>
      </c>
      <c r="C61" s="59">
        <f>IF(B61&lt;&gt;" ",CONCATENATE(A61,B61)," ")</f>
        <v/>
      </c>
      <c r="E61" s="70" t="n"/>
      <c r="J61" s="71" t="n"/>
    </row>
    <row r="62">
      <c r="A62" s="62" t="inlineStr">
        <is>
          <t>C</t>
        </is>
      </c>
      <c r="B62" s="60">
        <f>IF(E62&gt;1/1/2001,B61+1," ")</f>
        <v/>
      </c>
      <c r="C62" s="59">
        <f>IF(B62&lt;&gt;" ",CONCATENATE(A62,B62)," ")</f>
        <v/>
      </c>
      <c r="E62" s="70" t="n"/>
      <c r="J62" s="71" t="n"/>
    </row>
    <row r="63">
      <c r="A63" s="62" t="inlineStr">
        <is>
          <t>C</t>
        </is>
      </c>
      <c r="B63" s="60">
        <f>IF(E63&gt;1/1/2001,B62+1," ")</f>
        <v/>
      </c>
      <c r="C63" s="59">
        <f>IF(B63&lt;&gt;" ",CONCATENATE(A63,B63)," ")</f>
        <v/>
      </c>
      <c r="E63" s="70" t="n"/>
      <c r="J63" s="71" t="n"/>
    </row>
    <row r="64">
      <c r="A64" s="62" t="inlineStr">
        <is>
          <t>C</t>
        </is>
      </c>
      <c r="B64" s="60">
        <f>IF(E64&gt;1/1/2001,B63+1," ")</f>
        <v/>
      </c>
      <c r="C64" s="59">
        <f>IF(B64&lt;&gt;" ",CONCATENATE(A64,B64)," ")</f>
        <v/>
      </c>
      <c r="E64" s="70" t="n"/>
      <c r="J64" s="71" t="n"/>
    </row>
    <row r="65">
      <c r="A65" s="62" t="inlineStr">
        <is>
          <t>C</t>
        </is>
      </c>
      <c r="B65" s="60">
        <f>IF(E65&gt;1/1/2001,B64+1," ")</f>
        <v/>
      </c>
      <c r="C65" s="59">
        <f>IF(B65&lt;&gt;" ",CONCATENATE(A65,B65)," ")</f>
        <v/>
      </c>
      <c r="E65" s="70" t="n"/>
      <c r="J65" s="71" t="n"/>
    </row>
    <row r="66">
      <c r="A66" s="62" t="inlineStr">
        <is>
          <t>C</t>
        </is>
      </c>
      <c r="B66" s="60">
        <f>IF(E66&gt;1/1/2001,B65+1," ")</f>
        <v/>
      </c>
      <c r="C66" s="59">
        <f>IF(B66&lt;&gt;" ",CONCATENATE(A66,B66)," ")</f>
        <v/>
      </c>
      <c r="E66" s="70" t="n"/>
      <c r="J66" s="71" t="n"/>
    </row>
    <row r="67">
      <c r="A67" s="62" t="inlineStr">
        <is>
          <t>C</t>
        </is>
      </c>
      <c r="B67" s="60">
        <f>IF(E67&gt;1/1/2001,B66+1," ")</f>
        <v/>
      </c>
      <c r="C67" s="59">
        <f>IF(B67&lt;&gt;" ",CONCATENATE(A67,B67)," ")</f>
        <v/>
      </c>
      <c r="E67" s="70" t="n"/>
      <c r="J67" s="71" t="n"/>
    </row>
    <row r="68">
      <c r="A68" s="62" t="inlineStr">
        <is>
          <t>C</t>
        </is>
      </c>
      <c r="B68" s="60">
        <f>IF(E68&gt;1/1/2001,B67+1," ")</f>
        <v/>
      </c>
      <c r="C68" s="59">
        <f>IF(B68&lt;&gt;" ",CONCATENATE(A68,B68)," ")</f>
        <v/>
      </c>
      <c r="E68" s="70" t="n"/>
      <c r="J68" s="71" t="n"/>
    </row>
    <row r="69">
      <c r="A69" s="62" t="inlineStr">
        <is>
          <t>C</t>
        </is>
      </c>
      <c r="B69" s="60">
        <f>IF(E69&gt;1/1/2001,B68+1," ")</f>
        <v/>
      </c>
      <c r="C69" s="59">
        <f>IF(B69&lt;&gt;" ",CONCATENATE(A69,B69)," ")</f>
        <v/>
      </c>
      <c r="E69" s="70" t="n"/>
      <c r="J69" s="71" t="n"/>
    </row>
    <row r="70">
      <c r="A70" s="62" t="inlineStr">
        <is>
          <t>C</t>
        </is>
      </c>
      <c r="B70" s="60">
        <f>IF(E70&gt;1/1/2001,B69+1," ")</f>
        <v/>
      </c>
      <c r="C70" s="59">
        <f>IF(B70&lt;&gt;" ",CONCATENATE(A70,B70)," ")</f>
        <v/>
      </c>
      <c r="E70" s="70" t="n"/>
      <c r="J70" s="71" t="n"/>
    </row>
    <row r="71">
      <c r="A71" s="62" t="inlineStr">
        <is>
          <t>C</t>
        </is>
      </c>
      <c r="B71" s="60">
        <f>IF(E71&gt;1/1/2001,B70+1," ")</f>
        <v/>
      </c>
      <c r="C71" s="59">
        <f>IF(B71&lt;&gt;" ",CONCATENATE(A71,B71)," ")</f>
        <v/>
      </c>
      <c r="E71" s="70" t="n"/>
      <c r="J71" s="71" t="n"/>
    </row>
    <row r="72">
      <c r="A72" s="62" t="inlineStr">
        <is>
          <t>C</t>
        </is>
      </c>
      <c r="B72" s="60">
        <f>IF(E72&gt;1/1/2001,B71+1," ")</f>
        <v/>
      </c>
      <c r="C72" s="59">
        <f>IF(B72&lt;&gt;" ",CONCATENATE(A72,B72)," ")</f>
        <v/>
      </c>
      <c r="E72" s="70" t="n"/>
      <c r="J72" s="71" t="n"/>
    </row>
    <row r="73">
      <c r="A73" s="62" t="inlineStr">
        <is>
          <t>C</t>
        </is>
      </c>
      <c r="B73" s="60">
        <f>IF(E73&gt;1/1/2001,B72+1," ")</f>
        <v/>
      </c>
      <c r="C73" s="59">
        <f>IF(B73&lt;&gt;" ",CONCATENATE(A73,B73)," ")</f>
        <v/>
      </c>
      <c r="E73" s="70" t="n"/>
      <c r="J73" s="71" t="n"/>
    </row>
    <row r="74">
      <c r="A74" s="62" t="inlineStr">
        <is>
          <t>C</t>
        </is>
      </c>
      <c r="B74" s="60">
        <f>IF(E74&gt;1/1/2001,B73+1," ")</f>
        <v/>
      </c>
      <c r="C74" s="59">
        <f>IF(B74&lt;&gt;" ",CONCATENATE(A74,B74)," ")</f>
        <v/>
      </c>
      <c r="E74" s="70" t="n"/>
      <c r="J74" s="71" t="n"/>
    </row>
    <row r="75">
      <c r="A75" s="62" t="inlineStr">
        <is>
          <t>C</t>
        </is>
      </c>
      <c r="B75" s="60">
        <f>IF(E75&gt;1/1/2001,B74+1," ")</f>
        <v/>
      </c>
      <c r="C75" s="59">
        <f>IF(B75&lt;&gt;" ",CONCATENATE(A75,B75)," ")</f>
        <v/>
      </c>
      <c r="E75" s="70" t="n"/>
      <c r="J75" s="71" t="n"/>
    </row>
    <row r="76">
      <c r="A76" s="62" t="inlineStr">
        <is>
          <t>C</t>
        </is>
      </c>
      <c r="B76" s="60">
        <f>IF(E76&gt;1/1/2001,B75+1," ")</f>
        <v/>
      </c>
      <c r="C76" s="59">
        <f>IF(B76&lt;&gt;" ",CONCATENATE(A76,B76)," ")</f>
        <v/>
      </c>
      <c r="E76" s="70" t="n"/>
      <c r="J76" s="71" t="n"/>
    </row>
    <row r="77">
      <c r="A77" s="62" t="inlineStr">
        <is>
          <t>C</t>
        </is>
      </c>
      <c r="B77" s="60">
        <f>IF(E77&gt;1/1/2001,B76+1," ")</f>
        <v/>
      </c>
      <c r="C77" s="59">
        <f>IF(B77&lt;&gt;" ",CONCATENATE(A77,B77)," ")</f>
        <v/>
      </c>
      <c r="E77" s="70" t="n"/>
      <c r="J77" s="71" t="n"/>
    </row>
    <row r="78">
      <c r="A78" s="62" t="inlineStr">
        <is>
          <t>C</t>
        </is>
      </c>
      <c r="B78" s="60">
        <f>IF(E78&gt;1/1/2001,B77+1," ")</f>
        <v/>
      </c>
      <c r="C78" s="59">
        <f>IF(B78&lt;&gt;" ",CONCATENATE(A78,B78)," ")</f>
        <v/>
      </c>
      <c r="E78" s="70" t="n"/>
      <c r="J78" s="71" t="n"/>
    </row>
    <row r="79">
      <c r="A79" s="62" t="inlineStr">
        <is>
          <t>C</t>
        </is>
      </c>
      <c r="B79" s="60">
        <f>IF(E79&gt;1/1/2001,B78+1," ")</f>
        <v/>
      </c>
      <c r="C79" s="59">
        <f>IF(B79&lt;&gt;" ",CONCATENATE(A79,B79)," ")</f>
        <v/>
      </c>
      <c r="E79" s="70" t="n"/>
      <c r="J79" s="71" t="n"/>
    </row>
    <row r="80">
      <c r="A80" s="62" t="inlineStr">
        <is>
          <t>C</t>
        </is>
      </c>
      <c r="B80" s="60">
        <f>IF(E80&gt;1/1/2001,B79+1," ")</f>
        <v/>
      </c>
      <c r="C80" s="59">
        <f>IF(B80&lt;&gt;" ",CONCATENATE(A80,B80)," ")</f>
        <v/>
      </c>
      <c r="E80" s="70" t="n"/>
      <c r="J80" s="71" t="n"/>
    </row>
    <row r="81">
      <c r="A81" s="62" t="inlineStr">
        <is>
          <t>C</t>
        </is>
      </c>
      <c r="B81" s="60">
        <f>IF(E81&gt;1/1/2001,B80+1," ")</f>
        <v/>
      </c>
      <c r="C81" s="59">
        <f>IF(B81&lt;&gt;" ",CONCATENATE(A81,B81)," ")</f>
        <v/>
      </c>
      <c r="E81" s="70" t="n"/>
      <c r="J81" s="71" t="n"/>
    </row>
    <row r="82">
      <c r="A82" s="62" t="inlineStr">
        <is>
          <t>C</t>
        </is>
      </c>
      <c r="B82" s="60">
        <f>IF(E82&gt;1/1/2001,B81+1," ")</f>
        <v/>
      </c>
      <c r="C82" s="59">
        <f>IF(B82&lt;&gt;" ",CONCATENATE(A82,B82)," ")</f>
        <v/>
      </c>
      <c r="E82" s="70" t="n"/>
      <c r="J82" s="71" t="n"/>
    </row>
    <row r="83">
      <c r="A83" s="62" t="inlineStr">
        <is>
          <t>C</t>
        </is>
      </c>
      <c r="B83" s="60">
        <f>IF(E83&gt;1/1/2001,B82+1," ")</f>
        <v/>
      </c>
      <c r="C83" s="59">
        <f>IF(B83&lt;&gt;" ",CONCATENATE(A83,B83)," ")</f>
        <v/>
      </c>
      <c r="E83" s="70" t="n"/>
      <c r="J83" s="71" t="n"/>
    </row>
    <row r="84">
      <c r="A84" s="62" t="inlineStr">
        <is>
          <t>C</t>
        </is>
      </c>
      <c r="B84" s="60">
        <f>IF(E84&gt;1/1/2001,B83+1," ")</f>
        <v/>
      </c>
      <c r="C84" s="59">
        <f>IF(B84&lt;&gt;" ",CONCATENATE(A84,B84)," ")</f>
        <v/>
      </c>
      <c r="E84" s="70" t="n"/>
      <c r="J84" s="71" t="n"/>
    </row>
    <row r="85">
      <c r="A85" s="62" t="inlineStr">
        <is>
          <t>C</t>
        </is>
      </c>
      <c r="B85" s="60">
        <f>IF(E85&gt;1/1/2001,B84+1," ")</f>
        <v/>
      </c>
      <c r="C85" s="59">
        <f>IF(B85&lt;&gt;" ",CONCATENATE(A85,B85)," ")</f>
        <v/>
      </c>
      <c r="E85" s="70" t="n"/>
      <c r="J85" s="71" t="n"/>
    </row>
    <row r="86">
      <c r="A86" s="62" t="inlineStr">
        <is>
          <t>C</t>
        </is>
      </c>
      <c r="B86" s="60">
        <f>IF(E86&gt;1/1/2001,B85+1," ")</f>
        <v/>
      </c>
      <c r="C86" s="59">
        <f>IF(B86&lt;&gt;" ",CONCATENATE(A86,B86)," ")</f>
        <v/>
      </c>
      <c r="E86" s="70" t="n"/>
      <c r="J86" s="71" t="n"/>
    </row>
    <row r="87">
      <c r="A87" s="62" t="inlineStr">
        <is>
          <t>C</t>
        </is>
      </c>
      <c r="B87" s="60">
        <f>IF(E87&gt;1/1/2001,B86+1," ")</f>
        <v/>
      </c>
      <c r="C87" s="59">
        <f>IF(B87&lt;&gt;" ",CONCATENATE(A87,B87)," ")</f>
        <v/>
      </c>
      <c r="E87" s="70" t="n"/>
      <c r="J87" s="71" t="n"/>
    </row>
    <row r="88">
      <c r="A88" s="62" t="inlineStr">
        <is>
          <t>C</t>
        </is>
      </c>
      <c r="B88" s="60">
        <f>IF(E88&gt;1/1/2001,B87+1," ")</f>
        <v/>
      </c>
      <c r="C88" s="59">
        <f>IF(B88&lt;&gt;" ",CONCATENATE(A88,B88)," ")</f>
        <v/>
      </c>
      <c r="E88" s="70" t="n"/>
      <c r="J88" s="71" t="n"/>
    </row>
    <row r="89">
      <c r="A89" s="62" t="inlineStr">
        <is>
          <t>C</t>
        </is>
      </c>
      <c r="B89" s="60">
        <f>IF(E89&gt;1/1/2001,B88+1," ")</f>
        <v/>
      </c>
      <c r="C89" s="59">
        <f>IF(B89&lt;&gt;" ",CONCATENATE(A89,B89)," ")</f>
        <v/>
      </c>
      <c r="E89" s="70" t="n"/>
      <c r="J89" s="71" t="n"/>
    </row>
    <row r="90">
      <c r="A90" s="62" t="inlineStr">
        <is>
          <t>C</t>
        </is>
      </c>
      <c r="B90" s="60">
        <f>IF(E90&gt;1/1/2001,B89+1," ")</f>
        <v/>
      </c>
      <c r="C90" s="59">
        <f>IF(B90&lt;&gt;" ",CONCATENATE(A90,B90)," ")</f>
        <v/>
      </c>
      <c r="E90" s="70" t="n"/>
      <c r="J90" s="71" t="n"/>
    </row>
    <row r="91">
      <c r="A91" s="62" t="inlineStr">
        <is>
          <t>C</t>
        </is>
      </c>
      <c r="B91" s="60">
        <f>IF(E91&gt;1/1/2001,B90+1," ")</f>
        <v/>
      </c>
      <c r="C91" s="59">
        <f>IF(B91&lt;&gt;" ",CONCATENATE(A91,B91)," ")</f>
        <v/>
      </c>
      <c r="E91" s="70" t="n"/>
      <c r="J91" s="71" t="n"/>
    </row>
    <row r="92">
      <c r="A92" s="62" t="inlineStr">
        <is>
          <t>C</t>
        </is>
      </c>
      <c r="B92" s="60">
        <f>IF(E92&gt;1/1/2001,B91+1," ")</f>
        <v/>
      </c>
      <c r="C92" s="59">
        <f>IF(B92&lt;&gt;" ",CONCATENATE(A92,B92)," ")</f>
        <v/>
      </c>
      <c r="E92" s="70" t="n"/>
      <c r="J92" s="71" t="n"/>
    </row>
    <row r="93">
      <c r="A93" s="62" t="inlineStr">
        <is>
          <t>C</t>
        </is>
      </c>
      <c r="B93" s="60">
        <f>IF(E93&gt;1/1/2001,B92+1," ")</f>
        <v/>
      </c>
      <c r="C93" s="59">
        <f>IF(B93&lt;&gt;" ",CONCATENATE(A93,B93)," ")</f>
        <v/>
      </c>
      <c r="E93" s="70" t="n"/>
      <c r="J93" s="71" t="n"/>
    </row>
    <row r="94">
      <c r="A94" s="62" t="inlineStr">
        <is>
          <t>C</t>
        </is>
      </c>
      <c r="B94" s="60">
        <f>IF(E94&gt;1/1/2001,B93+1," ")</f>
        <v/>
      </c>
      <c r="C94" s="59">
        <f>IF(B94&lt;&gt;" ",CONCATENATE(A94,B94)," ")</f>
        <v/>
      </c>
      <c r="E94" s="70" t="n"/>
      <c r="J94" s="71" t="n"/>
    </row>
    <row r="95">
      <c r="A95" s="62" t="inlineStr">
        <is>
          <t>C</t>
        </is>
      </c>
      <c r="B95" s="60">
        <f>IF(E95&gt;1/1/2001,B94+1," ")</f>
        <v/>
      </c>
      <c r="C95" s="59">
        <f>IF(B95&lt;&gt;" ",CONCATENATE(A95,B95)," ")</f>
        <v/>
      </c>
      <c r="E95" s="70" t="n"/>
      <c r="J95" s="71" t="n"/>
    </row>
    <row r="96">
      <c r="A96" s="62" t="inlineStr">
        <is>
          <t>C</t>
        </is>
      </c>
      <c r="B96" s="60">
        <f>IF(E96&gt;1/1/2001,B95+1," ")</f>
        <v/>
      </c>
      <c r="C96" s="59">
        <f>IF(B96&lt;&gt;" ",CONCATENATE(A96,B96)," ")</f>
        <v/>
      </c>
      <c r="E96" s="70" t="n"/>
      <c r="J96" s="71" t="n"/>
    </row>
    <row r="97">
      <c r="A97" s="62" t="inlineStr">
        <is>
          <t>C</t>
        </is>
      </c>
      <c r="B97" s="60">
        <f>IF(E97&gt;1/1/2001,B96+1," ")</f>
        <v/>
      </c>
      <c r="C97" s="59">
        <f>IF(B97&lt;&gt;" ",CONCATENATE(A97,B97)," ")</f>
        <v/>
      </c>
      <c r="E97" s="70" t="n"/>
      <c r="J97" s="71" t="n"/>
    </row>
    <row r="98">
      <c r="A98" s="62" t="inlineStr">
        <is>
          <t>C</t>
        </is>
      </c>
      <c r="B98" s="60">
        <f>IF(E98&gt;1/1/2001,B97+1," ")</f>
        <v/>
      </c>
      <c r="C98" s="59">
        <f>IF(B98&lt;&gt;" ",CONCATENATE(A98,B98)," ")</f>
        <v/>
      </c>
      <c r="E98" s="70" t="n"/>
      <c r="J98" s="71" t="n"/>
    </row>
    <row r="99">
      <c r="A99" s="62" t="inlineStr">
        <is>
          <t>C</t>
        </is>
      </c>
      <c r="B99" s="60">
        <f>IF(E99&gt;1/1/2001,B98+1," ")</f>
        <v/>
      </c>
      <c r="C99" s="59">
        <f>IF(B99&lt;&gt;" ",CONCATENATE(A99,B99)," ")</f>
        <v/>
      </c>
      <c r="E99" s="70" t="n"/>
      <c r="J99" s="71" t="n"/>
    </row>
    <row r="100">
      <c r="A100" s="62" t="inlineStr">
        <is>
          <t>C</t>
        </is>
      </c>
      <c r="B100" s="60">
        <f>IF(E100&gt;1/1/2001,B99+1," ")</f>
        <v/>
      </c>
      <c r="C100" s="59">
        <f>IF(B100&lt;&gt;" ",CONCATENATE(A100,B100)," ")</f>
        <v/>
      </c>
      <c r="E100" s="70" t="n"/>
      <c r="J100" s="71" t="n"/>
    </row>
    <row r="101">
      <c r="A101" s="62" t="inlineStr">
        <is>
          <t>C</t>
        </is>
      </c>
      <c r="B101" s="60">
        <f>IF(E101&gt;1/1/2001,B100+1," ")</f>
        <v/>
      </c>
      <c r="C101" s="59">
        <f>IF(B101&lt;&gt;" ",CONCATENATE(A101,B101)," ")</f>
        <v/>
      </c>
      <c r="E101" s="70" t="n"/>
      <c r="J101" s="71" t="n"/>
    </row>
    <row r="102">
      <c r="A102" s="62" t="inlineStr">
        <is>
          <t>C</t>
        </is>
      </c>
      <c r="B102" s="60">
        <f>IF(E102&gt;1/1/2001,B101+1," ")</f>
        <v/>
      </c>
      <c r="C102" s="59">
        <f>IF(B102&lt;&gt;" ",CONCATENATE(A102,B102)," ")</f>
        <v/>
      </c>
      <c r="E102" s="70" t="n"/>
      <c r="J102" s="71" t="n"/>
    </row>
    <row r="103">
      <c r="A103" s="62" t="inlineStr">
        <is>
          <t>C</t>
        </is>
      </c>
      <c r="B103" s="60">
        <f>IF(E103&gt;1/1/2001,B102+1," ")</f>
        <v/>
      </c>
      <c r="C103" s="59">
        <f>IF(B103&lt;&gt;" ",CONCATENATE(A103,B103)," ")</f>
        <v/>
      </c>
      <c r="E103" s="70" t="n"/>
      <c r="H103" s="69" t="n"/>
      <c r="J103" s="71" t="n"/>
    </row>
    <row r="104">
      <c r="A104" s="62" t="inlineStr">
        <is>
          <t>C</t>
        </is>
      </c>
      <c r="B104" s="60">
        <f>IF(E104&gt;1/1/2001,B103+1," ")</f>
        <v/>
      </c>
      <c r="C104" s="59">
        <f>IF(B104&lt;&gt;" ",CONCATENATE(A104,B104)," ")</f>
        <v/>
      </c>
      <c r="E104" s="70" t="n"/>
      <c r="J104" s="71" t="n"/>
    </row>
    <row r="105">
      <c r="A105" s="62" t="inlineStr">
        <is>
          <t>C</t>
        </is>
      </c>
      <c r="B105" s="60">
        <f>IF(E105&gt;1/1/2001,B104+1," ")</f>
        <v/>
      </c>
      <c r="C105" s="59">
        <f>IF(B105&lt;&gt;" ",CONCATENATE(A105,B105)," ")</f>
        <v/>
      </c>
      <c r="E105" s="70" t="n"/>
      <c r="J105" s="71" t="n"/>
    </row>
    <row r="106">
      <c r="A106" s="62" t="inlineStr">
        <is>
          <t>C</t>
        </is>
      </c>
      <c r="B106" s="60">
        <f>IF(E106&gt;1/1/2001,B105+1," ")</f>
        <v/>
      </c>
      <c r="C106" s="59">
        <f>IF(B106&lt;&gt;" ",CONCATENATE(A106,B106)," ")</f>
        <v/>
      </c>
      <c r="E106" s="70" t="n"/>
      <c r="J106" s="71" t="n"/>
    </row>
    <row r="107">
      <c r="A107" s="62" t="inlineStr">
        <is>
          <t>C</t>
        </is>
      </c>
      <c r="B107" s="60">
        <f>IF(E107&gt;1/1/2001,B106+1," ")</f>
        <v/>
      </c>
      <c r="C107" s="59">
        <f>IF(B107&lt;&gt;" ",CONCATENATE(A107,B107)," ")</f>
        <v/>
      </c>
      <c r="E107" s="70" t="n"/>
      <c r="J107" s="71" t="n"/>
    </row>
    <row r="108">
      <c r="A108" s="62" t="inlineStr">
        <is>
          <t>C</t>
        </is>
      </c>
      <c r="B108" s="60">
        <f>IF(E108&gt;1/1/2001,B107+1," ")</f>
        <v/>
      </c>
      <c r="C108" s="59">
        <f>IF(B108&lt;&gt;" ",CONCATENATE(A108,B108)," ")</f>
        <v/>
      </c>
      <c r="E108" s="70" t="n"/>
      <c r="J108" s="71" t="n"/>
    </row>
    <row r="109">
      <c r="A109" s="62" t="inlineStr">
        <is>
          <t>C</t>
        </is>
      </c>
      <c r="B109" s="60">
        <f>IF(E109&gt;1/1/2001,B108+1," ")</f>
        <v/>
      </c>
      <c r="C109" s="59">
        <f>IF(B109&lt;&gt;" ",CONCATENATE(A109,B109)," ")</f>
        <v/>
      </c>
      <c r="E109" s="70" t="n"/>
      <c r="J109" s="71" t="n"/>
    </row>
    <row r="110">
      <c r="A110" s="62" t="inlineStr">
        <is>
          <t>C</t>
        </is>
      </c>
      <c r="B110" s="60">
        <f>IF(E110&gt;1/1/2001,B109+1," ")</f>
        <v/>
      </c>
      <c r="C110" s="59">
        <f>IF(B110&lt;&gt;" ",CONCATENATE(A110,B110)," ")</f>
        <v/>
      </c>
      <c r="E110" s="70" t="n"/>
      <c r="J110" s="71" t="n"/>
    </row>
    <row r="111">
      <c r="A111" s="62" t="inlineStr">
        <is>
          <t>C</t>
        </is>
      </c>
      <c r="B111" s="60">
        <f>IF(E111&gt;1/1/2001,B110+1," ")</f>
        <v/>
      </c>
      <c r="C111" s="59">
        <f>IF(B111&lt;&gt;" ",CONCATENATE(A111,B111)," ")</f>
        <v/>
      </c>
      <c r="E111" s="70" t="n"/>
      <c r="J111" s="71" t="n"/>
    </row>
    <row r="112">
      <c r="A112" s="62" t="inlineStr">
        <is>
          <t>C</t>
        </is>
      </c>
      <c r="B112" s="60">
        <f>IF(E112&gt;1/1/2001,B111+1," ")</f>
        <v/>
      </c>
      <c r="C112" s="59">
        <f>IF(B112&lt;&gt;" ",CONCATENATE(A112,B112)," ")</f>
        <v/>
      </c>
      <c r="E112" s="70" t="n"/>
      <c r="J112" s="71" t="n"/>
    </row>
    <row r="113">
      <c r="A113" s="62" t="inlineStr">
        <is>
          <t>C</t>
        </is>
      </c>
      <c r="B113" s="60">
        <f>IF(E113&gt;1/1/2001,B112+1," ")</f>
        <v/>
      </c>
      <c r="C113" s="59">
        <f>IF(B113&lt;&gt;" ",CONCATENATE(A113,B113)," ")</f>
        <v/>
      </c>
      <c r="E113" s="70" t="n"/>
      <c r="J113" s="71" t="n"/>
    </row>
    <row r="114">
      <c r="A114" s="62" t="inlineStr">
        <is>
          <t>C</t>
        </is>
      </c>
      <c r="B114" s="60">
        <f>IF(E114&gt;1/1/2001,B113+1," ")</f>
        <v/>
      </c>
      <c r="C114" s="59">
        <f>IF(B114&lt;&gt;" ",CONCATENATE(A114,B114)," ")</f>
        <v/>
      </c>
      <c r="E114" s="70" t="n"/>
      <c r="J114" s="71" t="n"/>
    </row>
    <row r="115">
      <c r="A115" s="62" t="inlineStr">
        <is>
          <t>C</t>
        </is>
      </c>
      <c r="B115" s="60">
        <f>IF(E115&gt;1/1/2001,B114+1," ")</f>
        <v/>
      </c>
      <c r="C115" s="59">
        <f>IF(B115&lt;&gt;" ",CONCATENATE(A115,B115)," ")</f>
        <v/>
      </c>
      <c r="E115" s="70" t="n"/>
      <c r="J115" s="71" t="n"/>
    </row>
    <row r="116">
      <c r="A116" s="62" t="inlineStr">
        <is>
          <t>C</t>
        </is>
      </c>
      <c r="B116" s="60">
        <f>IF(E116&gt;1/1/2001,B115+1," ")</f>
        <v/>
      </c>
      <c r="C116" s="59">
        <f>IF(B116&lt;&gt;" ",CONCATENATE(A116,B116)," ")</f>
        <v/>
      </c>
      <c r="E116" s="70" t="n"/>
      <c r="J116" s="71" t="n"/>
    </row>
    <row r="117">
      <c r="A117" s="62" t="inlineStr">
        <is>
          <t>C</t>
        </is>
      </c>
      <c r="B117" s="60">
        <f>IF(E117&gt;1/1/2001,B116+1," ")</f>
        <v/>
      </c>
      <c r="C117" s="59">
        <f>IF(B117&lt;&gt;" ",CONCATENATE(A117,B117)," ")</f>
        <v/>
      </c>
      <c r="E117" s="70" t="n"/>
      <c r="J117" s="71" t="n"/>
    </row>
    <row r="118">
      <c r="A118" s="62" t="inlineStr">
        <is>
          <t>C</t>
        </is>
      </c>
      <c r="B118" s="60">
        <f>IF(E118&gt;1/1/2001,B117+1," ")</f>
        <v/>
      </c>
      <c r="C118" s="59">
        <f>IF(B118&lt;&gt;" ",CONCATENATE(A118,B118)," ")</f>
        <v/>
      </c>
      <c r="E118" s="70" t="n"/>
      <c r="J118" s="71" t="n"/>
    </row>
    <row r="119">
      <c r="A119" s="62" t="inlineStr">
        <is>
          <t>C</t>
        </is>
      </c>
      <c r="B119" s="60">
        <f>IF(E119&gt;1/1/2001,B118+1," ")</f>
        <v/>
      </c>
      <c r="C119" s="59">
        <f>IF(B119&lt;&gt;" ",CONCATENATE(A119,B119)," ")</f>
        <v/>
      </c>
      <c r="E119" s="70" t="n"/>
      <c r="J119" s="71" t="n"/>
    </row>
    <row r="120">
      <c r="A120" s="62" t="inlineStr">
        <is>
          <t>C</t>
        </is>
      </c>
      <c r="B120" s="60">
        <f>IF(E120&gt;1/1/2001,B119+1," ")</f>
        <v/>
      </c>
      <c r="C120" s="59">
        <f>IF(B120&lt;&gt;" ",CONCATENATE(A120,B120)," ")</f>
        <v/>
      </c>
      <c r="E120" s="70" t="n"/>
      <c r="J120" s="71" t="n"/>
    </row>
    <row r="121">
      <c r="A121" s="62" t="inlineStr">
        <is>
          <t>C</t>
        </is>
      </c>
      <c r="B121" s="60">
        <f>IF(E121&gt;1/1/2001,B120+1," ")</f>
        <v/>
      </c>
      <c r="C121" s="59">
        <f>IF(B121&lt;&gt;" ",CONCATENATE(A121,B121)," ")</f>
        <v/>
      </c>
      <c r="E121" s="70" t="n"/>
      <c r="J121" s="71" t="n"/>
    </row>
    <row r="122">
      <c r="A122" s="62" t="inlineStr">
        <is>
          <t>C</t>
        </is>
      </c>
      <c r="B122" s="60">
        <f>IF(E122&gt;1/1/2001,B121+1," ")</f>
        <v/>
      </c>
      <c r="C122" s="59">
        <f>IF(B122&lt;&gt;" ",CONCATENATE(A122,B122)," ")</f>
        <v/>
      </c>
      <c r="E122" s="70" t="n"/>
      <c r="J122" s="71" t="n"/>
    </row>
    <row r="123">
      <c r="A123" s="62" t="inlineStr">
        <is>
          <t>C</t>
        </is>
      </c>
      <c r="B123" s="60">
        <f>IF(E123&gt;1/1/2001,B122+1," ")</f>
        <v/>
      </c>
      <c r="C123" s="59">
        <f>IF(B123&lt;&gt;" ",CONCATENATE(A123,B123)," ")</f>
        <v/>
      </c>
      <c r="E123" s="70" t="n"/>
      <c r="J123" s="71" t="n"/>
    </row>
    <row r="124">
      <c r="A124" s="62" t="inlineStr">
        <is>
          <t>C</t>
        </is>
      </c>
      <c r="B124" s="60">
        <f>IF(E124&gt;1/1/2001,B123+1," ")</f>
        <v/>
      </c>
      <c r="C124" s="59">
        <f>IF(B124&lt;&gt;" ",CONCATENATE(A124,B124)," ")</f>
        <v/>
      </c>
      <c r="E124" s="70" t="n"/>
      <c r="J124" s="71" t="n"/>
    </row>
    <row r="125">
      <c r="A125" s="62" t="inlineStr">
        <is>
          <t>C</t>
        </is>
      </c>
      <c r="B125" s="60">
        <f>IF(E125&gt;1/1/2001,B124+1," ")</f>
        <v/>
      </c>
      <c r="C125" s="59">
        <f>IF(B125&lt;&gt;" ",CONCATENATE(A125,B125)," ")</f>
        <v/>
      </c>
      <c r="E125" s="70" t="n"/>
      <c r="J125" s="71" t="n"/>
    </row>
    <row r="126">
      <c r="A126" s="62" t="inlineStr">
        <is>
          <t>C</t>
        </is>
      </c>
      <c r="B126" s="60">
        <f>IF(E126&gt;1/1/2001,B125+1," ")</f>
        <v/>
      </c>
      <c r="C126" s="59">
        <f>IF(B126&lt;&gt;" ",CONCATENATE(A126,B126)," ")</f>
        <v/>
      </c>
      <c r="E126" s="70" t="n"/>
      <c r="J126" s="71" t="n"/>
    </row>
    <row r="127">
      <c r="A127" s="62" t="inlineStr">
        <is>
          <t>C</t>
        </is>
      </c>
      <c r="B127" s="60">
        <f>IF(E127&gt;1/1/2001,B126+1," ")</f>
        <v/>
      </c>
      <c r="C127" s="59">
        <f>IF(B127&lt;&gt;" ",CONCATENATE(A127,B127)," ")</f>
        <v/>
      </c>
      <c r="E127" s="70" t="n"/>
      <c r="J127" s="71" t="n"/>
    </row>
    <row r="128">
      <c r="A128" s="62" t="inlineStr">
        <is>
          <t>C</t>
        </is>
      </c>
      <c r="B128" s="60">
        <f>IF(E128&gt;1/1/2001,B127+1," ")</f>
        <v/>
      </c>
      <c r="C128" s="59">
        <f>IF(B128&lt;&gt;" ",CONCATENATE(A128,B128)," ")</f>
        <v/>
      </c>
      <c r="E128" s="70" t="n"/>
      <c r="J128" s="71" t="n"/>
    </row>
    <row r="129">
      <c r="A129" s="62" t="inlineStr">
        <is>
          <t>C</t>
        </is>
      </c>
      <c r="B129" s="60">
        <f>IF(E129&gt;1/1/2001,B128+1," ")</f>
        <v/>
      </c>
      <c r="C129" s="59">
        <f>IF(B129&lt;&gt;" ",CONCATENATE(A129,B129)," ")</f>
        <v/>
      </c>
      <c r="E129" s="70" t="n"/>
      <c r="J129" s="71" t="n"/>
    </row>
    <row r="130">
      <c r="A130" s="62" t="inlineStr">
        <is>
          <t>C</t>
        </is>
      </c>
      <c r="B130" s="60">
        <f>IF(E130&gt;1/1/2001,B129+1," ")</f>
        <v/>
      </c>
      <c r="C130" s="59">
        <f>IF(B130&lt;&gt;" ",CONCATENATE(A130,B130)," ")</f>
        <v/>
      </c>
      <c r="E130" s="70" t="n"/>
      <c r="J130" s="71" t="n"/>
    </row>
    <row r="131">
      <c r="A131" s="62" t="inlineStr">
        <is>
          <t>C</t>
        </is>
      </c>
      <c r="B131" s="60">
        <f>IF(E131&gt;1/1/2001,B130+1," ")</f>
        <v/>
      </c>
      <c r="C131" s="59">
        <f>IF(B131&lt;&gt;" ",CONCATENATE(A131,B131)," ")</f>
        <v/>
      </c>
      <c r="E131" s="70" t="n"/>
      <c r="J131" s="71" t="n"/>
    </row>
    <row r="132">
      <c r="A132" s="62" t="inlineStr">
        <is>
          <t>C</t>
        </is>
      </c>
      <c r="B132" s="60">
        <f>IF(E132&gt;1/1/2001,B131+1," ")</f>
        <v/>
      </c>
      <c r="C132" s="59">
        <f>IF(B132&lt;&gt;" ",CONCATENATE(A132,B132)," ")</f>
        <v/>
      </c>
      <c r="E132" s="70" t="n"/>
      <c r="J132" s="71" t="n"/>
    </row>
    <row r="133">
      <c r="A133" s="62" t="inlineStr">
        <is>
          <t>C</t>
        </is>
      </c>
      <c r="B133" s="60">
        <f>IF(E133&gt;1/1/2001,B132+1," ")</f>
        <v/>
      </c>
      <c r="C133" s="59">
        <f>IF(B133&lt;&gt;" ",CONCATENATE(A133,B133)," ")</f>
        <v/>
      </c>
      <c r="E133" s="70" t="n"/>
      <c r="J133" s="71" t="n"/>
    </row>
    <row r="134">
      <c r="A134" s="62" t="inlineStr">
        <is>
          <t>C</t>
        </is>
      </c>
      <c r="B134" s="60">
        <f>IF(E134&gt;1/1/2001,B133+1," ")</f>
        <v/>
      </c>
      <c r="C134" s="59">
        <f>IF(B134&lt;&gt;" ",CONCATENATE(A134,B134)," ")</f>
        <v/>
      </c>
      <c r="E134" s="70" t="n"/>
      <c r="J134" s="71" t="n"/>
    </row>
    <row r="135">
      <c r="A135" s="62" t="inlineStr">
        <is>
          <t>C</t>
        </is>
      </c>
      <c r="B135" s="60">
        <f>IF(E135&gt;1/1/2001,B134+1," ")</f>
        <v/>
      </c>
      <c r="C135" s="59">
        <f>IF(B135&lt;&gt;" ",CONCATENATE(A135,B135)," ")</f>
        <v/>
      </c>
      <c r="E135" s="70" t="n"/>
      <c r="J135" s="71" t="n"/>
    </row>
    <row r="136">
      <c r="A136" s="62" t="inlineStr">
        <is>
          <t>C</t>
        </is>
      </c>
      <c r="B136" s="60">
        <f>IF(E136&gt;1/1/2001,B135+1," ")</f>
        <v/>
      </c>
      <c r="C136" s="59">
        <f>IF(B136&lt;&gt;" ",CONCATENATE(A136,B136)," ")</f>
        <v/>
      </c>
      <c r="E136" s="70" t="n"/>
      <c r="J136" s="71" t="n"/>
    </row>
    <row r="137">
      <c r="A137" s="62" t="inlineStr">
        <is>
          <t>C</t>
        </is>
      </c>
      <c r="B137" s="60">
        <f>IF(E137&gt;1/1/2001,B136+1," ")</f>
        <v/>
      </c>
      <c r="C137" s="59">
        <f>IF(B137&lt;&gt;" ",CONCATENATE(A137,B137)," ")</f>
        <v/>
      </c>
      <c r="E137" s="70" t="n"/>
      <c r="J137" s="71" t="n"/>
    </row>
    <row r="138">
      <c r="A138" s="62" t="inlineStr">
        <is>
          <t>C</t>
        </is>
      </c>
      <c r="B138" s="60">
        <f>IF(E138&gt;1/1/2001,B137+1," ")</f>
        <v/>
      </c>
      <c r="C138" s="59">
        <f>IF(B138&lt;&gt;" ",CONCATENATE(A138,B138)," ")</f>
        <v/>
      </c>
      <c r="E138" s="70" t="n"/>
      <c r="J138" s="71" t="n"/>
    </row>
    <row r="139">
      <c r="A139" s="62" t="inlineStr">
        <is>
          <t>C</t>
        </is>
      </c>
      <c r="B139" s="60">
        <f>IF(E139&gt;1/1/2001,B138+1," ")</f>
        <v/>
      </c>
      <c r="C139" s="59">
        <f>IF(B139&lt;&gt;" ",CONCATENATE(A139,B139)," ")</f>
        <v/>
      </c>
      <c r="E139" s="70" t="n"/>
      <c r="J139" s="71" t="n"/>
    </row>
    <row r="140">
      <c r="A140" s="62" t="inlineStr">
        <is>
          <t>C</t>
        </is>
      </c>
      <c r="B140" s="60">
        <f>IF(E140&gt;1/1/2001,B139+1," ")</f>
        <v/>
      </c>
      <c r="C140" s="59">
        <f>IF(B140&lt;&gt;" ",CONCATENATE(A140,B140)," ")</f>
        <v/>
      </c>
      <c r="E140" s="70" t="n"/>
      <c r="J140" s="71" t="n"/>
    </row>
    <row r="141">
      <c r="A141" s="62" t="inlineStr">
        <is>
          <t>C</t>
        </is>
      </c>
      <c r="B141" s="60">
        <f>IF(E141&gt;1/1/2001,B140+1," ")</f>
        <v/>
      </c>
      <c r="C141" s="59">
        <f>IF(B141&lt;&gt;" ",CONCATENATE(A141,B141)," ")</f>
        <v/>
      </c>
      <c r="E141" s="70" t="n"/>
      <c r="J141" s="71" t="n"/>
    </row>
    <row r="142">
      <c r="A142" s="62" t="inlineStr">
        <is>
          <t>C</t>
        </is>
      </c>
      <c r="B142" s="60">
        <f>IF(E142&gt;1/1/2001,B141+1," ")</f>
        <v/>
      </c>
      <c r="C142" s="59">
        <f>IF(B142&lt;&gt;" ",CONCATENATE(A142,B142)," ")</f>
        <v/>
      </c>
      <c r="E142" s="70" t="n"/>
      <c r="J142" s="71" t="n"/>
    </row>
    <row r="143">
      <c r="A143" s="62" t="inlineStr">
        <is>
          <t>C</t>
        </is>
      </c>
      <c r="B143" s="60">
        <f>IF(E143&gt;1/1/2001,B142+1," ")</f>
        <v/>
      </c>
      <c r="C143" s="59">
        <f>IF(B143&lt;&gt;" ",CONCATENATE(A143,B143)," ")</f>
        <v/>
      </c>
      <c r="E143" s="70" t="n"/>
      <c r="J143" s="71" t="n"/>
    </row>
    <row r="144">
      <c r="A144" s="62" t="inlineStr">
        <is>
          <t>C</t>
        </is>
      </c>
      <c r="B144" s="60">
        <f>IF(E144&gt;1/1/2001,B143+1," ")</f>
        <v/>
      </c>
      <c r="C144" s="59">
        <f>IF(B144&lt;&gt;" ",CONCATENATE(A144,B144)," ")</f>
        <v/>
      </c>
      <c r="E144" s="70" t="n"/>
      <c r="J144" s="71" t="n"/>
    </row>
    <row r="145">
      <c r="A145" s="62" t="inlineStr">
        <is>
          <t>C</t>
        </is>
      </c>
      <c r="B145" s="60">
        <f>IF(E145&gt;1/1/2001,B144+1," ")</f>
        <v/>
      </c>
      <c r="C145" s="59">
        <f>IF(B145&lt;&gt;" ",CONCATENATE(A145,B145)," ")</f>
        <v/>
      </c>
      <c r="E145" s="70" t="n"/>
      <c r="J145" s="71" t="n"/>
    </row>
    <row r="146">
      <c r="A146" s="62" t="inlineStr">
        <is>
          <t>C</t>
        </is>
      </c>
      <c r="B146" s="60">
        <f>IF(E146&gt;1/1/2001,B145+1," ")</f>
        <v/>
      </c>
      <c r="C146" s="59">
        <f>IF(B146&lt;&gt;" ",CONCATENATE(A146,B146)," ")</f>
        <v/>
      </c>
      <c r="E146" s="70" t="n"/>
      <c r="J146" s="71" t="n"/>
    </row>
    <row r="147">
      <c r="A147" s="62" t="inlineStr">
        <is>
          <t>C</t>
        </is>
      </c>
      <c r="B147" s="60">
        <f>IF(E147&gt;1/1/2001,B146+1," ")</f>
        <v/>
      </c>
      <c r="C147" s="59">
        <f>IF(B147&lt;&gt;" ",CONCATENATE(A147,B147)," ")</f>
        <v/>
      </c>
      <c r="E147" s="70" t="n"/>
      <c r="J147" s="71" t="n"/>
    </row>
    <row r="148">
      <c r="A148" s="62" t="inlineStr">
        <is>
          <t>C</t>
        </is>
      </c>
      <c r="B148" s="60">
        <f>IF(E148&gt;1/1/2001,B147+1," ")</f>
        <v/>
      </c>
      <c r="C148" s="59">
        <f>IF(B148&lt;&gt;" ",CONCATENATE(A148,B148)," ")</f>
        <v/>
      </c>
      <c r="E148" s="70" t="n"/>
      <c r="J148" s="71" t="n"/>
    </row>
    <row r="149">
      <c r="A149" s="62" t="inlineStr">
        <is>
          <t>C</t>
        </is>
      </c>
      <c r="B149" s="60">
        <f>IF(E149&gt;1/1/2001,B148+1," ")</f>
        <v/>
      </c>
      <c r="C149" s="59">
        <f>IF(B149&lt;&gt;" ",CONCATENATE(A149,B149)," ")</f>
        <v/>
      </c>
      <c r="E149" s="70" t="n"/>
      <c r="J149" s="71" t="n"/>
    </row>
    <row r="150">
      <c r="A150" s="62" t="inlineStr">
        <is>
          <t>C</t>
        </is>
      </c>
      <c r="B150" s="60">
        <f>IF(E150&gt;1/1/2001,B149+1," ")</f>
        <v/>
      </c>
      <c r="C150" s="59">
        <f>IF(B150&lt;&gt;" ",CONCATENATE(A150,B150)," ")</f>
        <v/>
      </c>
      <c r="E150" s="70" t="n"/>
      <c r="J150" s="71" t="n"/>
    </row>
    <row r="151">
      <c r="A151" s="62" t="inlineStr">
        <is>
          <t>C</t>
        </is>
      </c>
      <c r="B151" s="60">
        <f>IF(E151&gt;1/1/2001,B150+1," ")</f>
        <v/>
      </c>
      <c r="C151" s="59">
        <f>IF(B151&lt;&gt;" ",CONCATENATE(A151,B151)," ")</f>
        <v/>
      </c>
      <c r="E151" s="70" t="n"/>
      <c r="J151" s="71" t="n"/>
    </row>
    <row r="152">
      <c r="A152" s="62" t="inlineStr">
        <is>
          <t>C</t>
        </is>
      </c>
      <c r="B152" s="60">
        <f>IF(E152&gt;1/1/2001,B151+1," ")</f>
        <v/>
      </c>
      <c r="C152" s="59">
        <f>IF(B152&lt;&gt;" ",CONCATENATE(A152,B152)," ")</f>
        <v/>
      </c>
      <c r="E152" s="70" t="n"/>
      <c r="J152" s="71" t="n"/>
    </row>
    <row r="153">
      <c r="A153" s="62" t="inlineStr">
        <is>
          <t>C</t>
        </is>
      </c>
      <c r="B153" s="60">
        <f>IF(E153&gt;1/1/2001,B152+1," ")</f>
        <v/>
      </c>
      <c r="C153" s="59">
        <f>IF(B153&lt;&gt;" ",CONCATENATE(A153,B153)," ")</f>
        <v/>
      </c>
      <c r="E153" s="70" t="n"/>
      <c r="J153" s="71" t="n"/>
    </row>
    <row r="154">
      <c r="A154" s="62" t="inlineStr">
        <is>
          <t>C</t>
        </is>
      </c>
      <c r="B154" s="60">
        <f>IF(E154&gt;1/1/2001,B153+1," ")</f>
        <v/>
      </c>
      <c r="C154" s="59">
        <f>IF(B154&lt;&gt;" ",CONCATENATE(A154,B154)," ")</f>
        <v/>
      </c>
      <c r="E154" s="70" t="n"/>
      <c r="J154" s="71" t="n"/>
    </row>
    <row r="155">
      <c r="A155" s="62" t="inlineStr">
        <is>
          <t>C</t>
        </is>
      </c>
      <c r="B155" s="60">
        <f>IF(E155&gt;1/1/2001,B154+1," ")</f>
        <v/>
      </c>
      <c r="C155" s="59">
        <f>IF(B155&lt;&gt;" ",CONCATENATE(A155,B155)," ")</f>
        <v/>
      </c>
      <c r="E155" s="70" t="n"/>
      <c r="J155" s="71" t="n"/>
    </row>
    <row r="156">
      <c r="A156" s="62" t="inlineStr">
        <is>
          <t>C</t>
        </is>
      </c>
      <c r="B156" s="60">
        <f>IF(E156&gt;1/1/2001,B155+1," ")</f>
        <v/>
      </c>
      <c r="C156" s="59">
        <f>IF(B156&lt;&gt;" ",CONCATENATE(A156,B156)," ")</f>
        <v/>
      </c>
      <c r="E156" s="70" t="n"/>
      <c r="J156" s="71" t="n"/>
    </row>
    <row r="157">
      <c r="A157" s="62" t="inlineStr">
        <is>
          <t>C</t>
        </is>
      </c>
      <c r="B157" s="60">
        <f>IF(E157&gt;1/1/2001,B156+1," ")</f>
        <v/>
      </c>
      <c r="C157" s="59">
        <f>IF(B157&lt;&gt;" ",CONCATENATE(A157,B157)," ")</f>
        <v/>
      </c>
      <c r="E157" s="70" t="n"/>
      <c r="J157" s="71" t="n"/>
    </row>
    <row r="158">
      <c r="A158" s="62" t="inlineStr">
        <is>
          <t>C</t>
        </is>
      </c>
      <c r="B158" s="60">
        <f>IF(E158&gt;1/1/2001,B157+1," ")</f>
        <v/>
      </c>
      <c r="C158" s="59">
        <f>IF(B158&lt;&gt;" ",CONCATENATE(A158,B158)," ")</f>
        <v/>
      </c>
      <c r="E158" s="70" t="n"/>
      <c r="J158" s="71" t="n"/>
    </row>
    <row r="159">
      <c r="A159" s="62" t="inlineStr">
        <is>
          <t>C</t>
        </is>
      </c>
      <c r="B159" s="60">
        <f>IF(E159&gt;1/1/2001,B158+1," ")</f>
        <v/>
      </c>
      <c r="C159" s="59">
        <f>IF(B159&lt;&gt;" ",CONCATENATE(A159,B159)," ")</f>
        <v/>
      </c>
      <c r="E159" s="70" t="n"/>
      <c r="J159" s="71" t="n"/>
    </row>
    <row r="160">
      <c r="A160" s="62" t="inlineStr">
        <is>
          <t>C</t>
        </is>
      </c>
      <c r="B160" s="60">
        <f>IF(E160&gt;1/1/2001,B159+1," ")</f>
        <v/>
      </c>
      <c r="C160" s="59">
        <f>IF(B160&lt;&gt;" ",CONCATENATE(A160,B160)," ")</f>
        <v/>
      </c>
      <c r="E160" s="70" t="n"/>
      <c r="J160" s="71" t="n"/>
    </row>
    <row r="161">
      <c r="A161" s="62" t="inlineStr">
        <is>
          <t>C</t>
        </is>
      </c>
      <c r="B161" s="60">
        <f>IF(E161&gt;1/1/2001,B160+1," ")</f>
        <v/>
      </c>
      <c r="C161" s="59">
        <f>IF(B161&lt;&gt;" ",CONCATENATE(A161,B161)," ")</f>
        <v/>
      </c>
      <c r="E161" s="70" t="n"/>
      <c r="J161" s="71" t="n"/>
    </row>
    <row r="162">
      <c r="A162" s="62" t="inlineStr">
        <is>
          <t>C</t>
        </is>
      </c>
      <c r="B162" s="60">
        <f>IF(E162&gt;1/1/2001,B161+1," ")</f>
        <v/>
      </c>
      <c r="C162" s="59">
        <f>IF(B162&lt;&gt;" ",CONCATENATE(A162,B162)," ")</f>
        <v/>
      </c>
      <c r="E162" s="70" t="n"/>
      <c r="J162" s="71" t="n"/>
    </row>
    <row r="163">
      <c r="A163" s="62" t="inlineStr">
        <is>
          <t>C</t>
        </is>
      </c>
      <c r="B163" s="60">
        <f>IF(E163&gt;1/1/2001,B162+1," ")</f>
        <v/>
      </c>
      <c r="C163" s="59">
        <f>IF(B163&lt;&gt;" ",CONCATENATE(A163,B163)," ")</f>
        <v/>
      </c>
      <c r="E163" s="70" t="n"/>
      <c r="J163" s="71" t="n"/>
    </row>
    <row r="164">
      <c r="A164" s="62" t="inlineStr">
        <is>
          <t>C</t>
        </is>
      </c>
      <c r="B164" s="60">
        <f>IF(E164&gt;1/1/2001,B163+1," ")</f>
        <v/>
      </c>
      <c r="C164" s="59">
        <f>IF(B164&lt;&gt;" ",CONCATENATE(A164,B164)," ")</f>
        <v/>
      </c>
      <c r="E164" s="70" t="n"/>
      <c r="J164" s="71" t="n"/>
    </row>
    <row r="165">
      <c r="A165" s="62" t="inlineStr">
        <is>
          <t>C</t>
        </is>
      </c>
      <c r="B165" s="60">
        <f>IF(E165&gt;1/1/2001,B164+1," ")</f>
        <v/>
      </c>
      <c r="C165" s="59">
        <f>IF(B165&lt;&gt;" ",CONCATENATE(A165,B165)," ")</f>
        <v/>
      </c>
      <c r="E165" s="70" t="n"/>
      <c r="J165" s="71" t="n"/>
    </row>
    <row r="166">
      <c r="A166" s="62" t="inlineStr">
        <is>
          <t>C</t>
        </is>
      </c>
      <c r="B166" s="60">
        <f>IF(E166&gt;1/1/2001,B165+1," ")</f>
        <v/>
      </c>
      <c r="C166" s="59">
        <f>IF(B166&lt;&gt;" ",CONCATENATE(A166,B166)," ")</f>
        <v/>
      </c>
      <c r="E166" s="70" t="n"/>
      <c r="J166" s="71" t="n"/>
    </row>
    <row r="167">
      <c r="A167" s="62" t="inlineStr">
        <is>
          <t>C</t>
        </is>
      </c>
      <c r="B167" s="60">
        <f>IF(E167&gt;1/1/2001,B166+1," ")</f>
        <v/>
      </c>
      <c r="C167" s="59">
        <f>IF(B167&lt;&gt;" ",CONCATENATE(A167,B167)," ")</f>
        <v/>
      </c>
      <c r="E167" s="70" t="n"/>
      <c r="J167" s="71" t="n"/>
    </row>
    <row r="168">
      <c r="A168" s="62" t="inlineStr">
        <is>
          <t>C</t>
        </is>
      </c>
      <c r="B168" s="60">
        <f>IF(E168&gt;1/1/2001,B167+1," ")</f>
        <v/>
      </c>
      <c r="C168" s="59">
        <f>IF(B168&lt;&gt;" ",CONCATENATE(A168,B168)," ")</f>
        <v/>
      </c>
      <c r="E168" s="70" t="n"/>
      <c r="J168" s="71" t="n"/>
    </row>
    <row r="169">
      <c r="A169" s="62" t="inlineStr">
        <is>
          <t>C</t>
        </is>
      </c>
      <c r="B169" s="60">
        <f>IF(E169&gt;1/1/2001,B168+1," ")</f>
        <v/>
      </c>
      <c r="C169" s="59">
        <f>IF(B169&lt;&gt;" ",CONCATENATE(A169,B169)," ")</f>
        <v/>
      </c>
      <c r="E169" s="70" t="n"/>
      <c r="J169" s="71" t="n"/>
    </row>
    <row r="170">
      <c r="A170" s="62" t="inlineStr">
        <is>
          <t>C</t>
        </is>
      </c>
      <c r="B170" s="60">
        <f>IF(E170&gt;1/1/2001,B169+1," ")</f>
        <v/>
      </c>
      <c r="C170" s="59">
        <f>IF(B170&lt;&gt;" ",CONCATENATE(A170,B170)," ")</f>
        <v/>
      </c>
      <c r="E170" s="70" t="n"/>
      <c r="J170" s="71" t="n"/>
    </row>
    <row r="171">
      <c r="A171" s="62" t="inlineStr">
        <is>
          <t>C</t>
        </is>
      </c>
      <c r="B171" s="60">
        <f>IF(E171&gt;1/1/2001,B170+1," ")</f>
        <v/>
      </c>
      <c r="C171" s="59">
        <f>IF(B171&lt;&gt;" ",CONCATENATE(A171,B171)," ")</f>
        <v/>
      </c>
      <c r="E171" s="70" t="n"/>
      <c r="J171" s="71" t="n"/>
    </row>
    <row r="172">
      <c r="A172" s="62" t="inlineStr">
        <is>
          <t>C</t>
        </is>
      </c>
      <c r="B172" s="60">
        <f>IF(E172&gt;1/1/2001,B171+1," ")</f>
        <v/>
      </c>
      <c r="C172" s="59">
        <f>IF(B172&lt;&gt;" ",CONCATENATE(A172,B172)," ")</f>
        <v/>
      </c>
      <c r="E172" s="70" t="n"/>
      <c r="J172" s="71" t="n"/>
    </row>
    <row r="173">
      <c r="A173" s="62" t="inlineStr">
        <is>
          <t>C</t>
        </is>
      </c>
      <c r="B173" s="60">
        <f>IF(E173&gt;1/1/2001,B172+1," ")</f>
        <v/>
      </c>
      <c r="C173" s="59">
        <f>IF(B173&lt;&gt;" ",CONCATENATE(A173,B173)," ")</f>
        <v/>
      </c>
      <c r="E173" s="70" t="n"/>
      <c r="J173" s="71" t="n"/>
    </row>
    <row r="174">
      <c r="A174" s="62" t="inlineStr">
        <is>
          <t>C</t>
        </is>
      </c>
      <c r="B174" s="60">
        <f>IF(E174&gt;1/1/2001,B173+1," ")</f>
        <v/>
      </c>
      <c r="C174" s="59">
        <f>IF(B174&lt;&gt;" ",CONCATENATE(A174,B174)," ")</f>
        <v/>
      </c>
      <c r="E174" s="70" t="n"/>
      <c r="J174" s="71" t="n"/>
    </row>
    <row r="175">
      <c r="A175" s="62" t="inlineStr">
        <is>
          <t>C</t>
        </is>
      </c>
      <c r="B175" s="60">
        <f>IF(E175&gt;1/1/2001,B174+1," ")</f>
        <v/>
      </c>
      <c r="C175" s="59">
        <f>IF(B175&lt;&gt;" ",CONCATENATE(A175,B175)," ")</f>
        <v/>
      </c>
      <c r="E175" s="70" t="n"/>
      <c r="J175" s="71" t="n"/>
    </row>
    <row r="176">
      <c r="A176" s="62" t="inlineStr">
        <is>
          <t>C</t>
        </is>
      </c>
      <c r="B176" s="60">
        <f>IF(E176&gt;1/1/2001,B175+1," ")</f>
        <v/>
      </c>
      <c r="C176" s="59">
        <f>IF(B176&lt;&gt;" ",CONCATENATE(A176,B176)," ")</f>
        <v/>
      </c>
      <c r="E176" s="70" t="n"/>
      <c r="J176" s="71" t="n"/>
    </row>
    <row r="177">
      <c r="A177" s="62" t="inlineStr">
        <is>
          <t>C</t>
        </is>
      </c>
      <c r="B177" s="60">
        <f>IF(E177&gt;1/1/2001,B176+1," ")</f>
        <v/>
      </c>
      <c r="C177" s="59">
        <f>IF(B177&lt;&gt;" ",CONCATENATE(A177,B177)," ")</f>
        <v/>
      </c>
      <c r="E177" s="70" t="n"/>
      <c r="J177" s="71" t="n"/>
    </row>
    <row r="178">
      <c r="A178" s="62" t="inlineStr">
        <is>
          <t>C</t>
        </is>
      </c>
      <c r="B178" s="60">
        <f>IF(E178&gt;1/1/2001,B177+1," ")</f>
        <v/>
      </c>
      <c r="C178" s="59">
        <f>IF(B178&lt;&gt;" ",CONCATENATE(A178,B178)," ")</f>
        <v/>
      </c>
      <c r="E178" s="70" t="n"/>
      <c r="J178" s="71" t="n"/>
    </row>
    <row r="179">
      <c r="A179" s="62" t="inlineStr">
        <is>
          <t>C</t>
        </is>
      </c>
      <c r="B179" s="60">
        <f>IF(E179&gt;1/1/2001,B178+1," ")</f>
        <v/>
      </c>
      <c r="C179" s="59">
        <f>IF(B179&lt;&gt;" ",CONCATENATE(A179,B179)," ")</f>
        <v/>
      </c>
      <c r="E179" s="70" t="n"/>
      <c r="J179" s="71" t="n"/>
    </row>
    <row r="180">
      <c r="A180" s="62" t="inlineStr">
        <is>
          <t>C</t>
        </is>
      </c>
      <c r="B180" s="60">
        <f>IF(E180&gt;1/1/2001,B179+1," ")</f>
        <v/>
      </c>
      <c r="C180" s="59">
        <f>IF(B180&lt;&gt;" ",CONCATENATE(A180,B180)," ")</f>
        <v/>
      </c>
      <c r="E180" s="70" t="n"/>
      <c r="J180" s="71" t="n"/>
    </row>
    <row r="181">
      <c r="A181" s="62" t="inlineStr">
        <is>
          <t>C</t>
        </is>
      </c>
      <c r="B181" s="60">
        <f>IF(E181&gt;1/1/2001,B180+1," ")</f>
        <v/>
      </c>
      <c r="C181" s="59">
        <f>IF(B181&lt;&gt;" ",CONCATENATE(A181,B181)," ")</f>
        <v/>
      </c>
      <c r="E181" s="70" t="n"/>
      <c r="J181" s="71" t="n"/>
    </row>
    <row r="182">
      <c r="A182" s="62" t="inlineStr">
        <is>
          <t>C</t>
        </is>
      </c>
      <c r="B182" s="60">
        <f>IF(E182&gt;1/1/2001,B181+1," ")</f>
        <v/>
      </c>
      <c r="C182" s="59">
        <f>IF(B182&lt;&gt;" ",CONCATENATE(A182,B182)," ")</f>
        <v/>
      </c>
      <c r="E182" s="70" t="n"/>
      <c r="J182" s="71" t="n"/>
    </row>
    <row r="183">
      <c r="A183" s="62" t="inlineStr">
        <is>
          <t>C</t>
        </is>
      </c>
      <c r="B183" s="60">
        <f>IF(E183&gt;1/1/2001,B182+1," ")</f>
        <v/>
      </c>
      <c r="C183" s="59">
        <f>IF(B183&lt;&gt;" ",CONCATENATE(A183,B183)," ")</f>
        <v/>
      </c>
      <c r="E183" s="70" t="n"/>
      <c r="J183" s="71" t="n"/>
    </row>
    <row r="184">
      <c r="A184" s="62" t="inlineStr">
        <is>
          <t>C</t>
        </is>
      </c>
      <c r="B184" s="60">
        <f>IF(E184&gt;1/1/2001,B183+1," ")</f>
        <v/>
      </c>
      <c r="C184" s="59">
        <f>IF(B184&lt;&gt;" ",CONCATENATE(A184,B184)," ")</f>
        <v/>
      </c>
      <c r="E184" s="70" t="n"/>
      <c r="J184" s="71" t="n"/>
    </row>
    <row r="185">
      <c r="A185" s="62" t="inlineStr">
        <is>
          <t>C</t>
        </is>
      </c>
      <c r="B185" s="60">
        <f>IF(E185&gt;1/1/2001,B184+1," ")</f>
        <v/>
      </c>
      <c r="C185" s="59">
        <f>IF(B185&lt;&gt;" ",CONCATENATE(A185,B185)," ")</f>
        <v/>
      </c>
      <c r="J185" s="71" t="n"/>
    </row>
    <row r="186">
      <c r="A186" s="62" t="inlineStr">
        <is>
          <t>C</t>
        </is>
      </c>
      <c r="B186" s="60">
        <f>IF(E186&gt;1/1/2001,B185+1," ")</f>
        <v/>
      </c>
      <c r="C186" s="59">
        <f>IF(B186&lt;&gt;" ",CONCATENATE(A186,B186)," ")</f>
        <v/>
      </c>
      <c r="J186" s="71" t="n"/>
    </row>
    <row r="187">
      <c r="A187" s="62" t="inlineStr">
        <is>
          <t>C</t>
        </is>
      </c>
      <c r="B187" s="60">
        <f>IF(E187&gt;1/1/2001,B186+1," ")</f>
        <v/>
      </c>
      <c r="C187" s="59">
        <f>IF(B187&lt;&gt;" ",CONCATENATE(A187,B187)," ")</f>
        <v/>
      </c>
      <c r="J187" s="71" t="n"/>
    </row>
    <row r="188">
      <c r="A188" s="62" t="inlineStr">
        <is>
          <t>C</t>
        </is>
      </c>
      <c r="B188" s="60">
        <f>IF(E188&gt;1/1/2001,B187+1," ")</f>
        <v/>
      </c>
      <c r="C188" s="59">
        <f>IF(B188&lt;&gt;" ",CONCATENATE(A188,B188)," ")</f>
        <v/>
      </c>
      <c r="J188" s="71" t="n"/>
    </row>
    <row r="189">
      <c r="A189" s="62" t="inlineStr">
        <is>
          <t>C</t>
        </is>
      </c>
      <c r="B189" s="60">
        <f>IF(E189&gt;1/1/2001,B188+1," ")</f>
        <v/>
      </c>
      <c r="C189" s="59">
        <f>IF(B189&lt;&gt;" ",CONCATENATE(A189,B189)," ")</f>
        <v/>
      </c>
      <c r="J189" s="71" t="n"/>
    </row>
    <row r="190">
      <c r="A190" s="62" t="inlineStr">
        <is>
          <t>C</t>
        </is>
      </c>
      <c r="B190" s="60">
        <f>IF(E190&gt;1/1/2001,B189+1," ")</f>
        <v/>
      </c>
      <c r="C190" s="59">
        <f>IF(B190&lt;&gt;" ",CONCATENATE(A190,B190)," ")</f>
        <v/>
      </c>
      <c r="J190" s="71" t="n"/>
    </row>
    <row r="191">
      <c r="A191" s="62" t="inlineStr">
        <is>
          <t>C</t>
        </is>
      </c>
      <c r="B191" s="60">
        <f>IF(E191&gt;1/1/2001,B190+1," ")</f>
        <v/>
      </c>
      <c r="C191" s="59">
        <f>IF(B191&lt;&gt;" ",CONCATENATE(A191,B191)," ")</f>
        <v/>
      </c>
      <c r="J191" s="71" t="n"/>
    </row>
    <row r="192">
      <c r="A192" s="62" t="inlineStr">
        <is>
          <t>C</t>
        </is>
      </c>
      <c r="B192" s="60">
        <f>IF(E192&gt;1/1/2001,B191+1," ")</f>
        <v/>
      </c>
      <c r="C192" s="59">
        <f>IF(B192&lt;&gt;" ",CONCATENATE(A192,B192)," ")</f>
        <v/>
      </c>
      <c r="J192" s="71" t="n"/>
    </row>
    <row r="193">
      <c r="A193" s="62" t="inlineStr">
        <is>
          <t>C</t>
        </is>
      </c>
      <c r="B193" s="60">
        <f>IF(E193&gt;1/1/2001,B192+1," ")</f>
        <v/>
      </c>
      <c r="C193" s="59">
        <f>IF(B193&lt;&gt;" ",CONCATENATE(A193,B193)," ")</f>
        <v/>
      </c>
      <c r="J193" s="71" t="n"/>
    </row>
    <row r="194">
      <c r="A194" s="62" t="inlineStr">
        <is>
          <t>C</t>
        </is>
      </c>
      <c r="B194" s="60">
        <f>IF(E194&gt;1/1/2001,B193+1," ")</f>
        <v/>
      </c>
      <c r="C194" s="59">
        <f>IF(B194&lt;&gt;" ",CONCATENATE(A194,B194)," ")</f>
        <v/>
      </c>
      <c r="J194" s="71" t="n"/>
    </row>
    <row r="195">
      <c r="A195" s="62" t="inlineStr">
        <is>
          <t>C</t>
        </is>
      </c>
      <c r="B195" s="60">
        <f>IF(E195&gt;1/1/2001,B194+1," ")</f>
        <v/>
      </c>
      <c r="C195" s="59">
        <f>IF(B195&lt;&gt;" ",CONCATENATE(A195,B195)," ")</f>
        <v/>
      </c>
      <c r="J195" s="71" t="n"/>
    </row>
    <row r="196">
      <c r="A196" s="62" t="inlineStr">
        <is>
          <t>C</t>
        </is>
      </c>
      <c r="B196" s="60">
        <f>IF(E196&gt;1/1/2001,B195+1," ")</f>
        <v/>
      </c>
      <c r="C196" s="59">
        <f>IF(B196&lt;&gt;" ",CONCATENATE(A196,B196)," ")</f>
        <v/>
      </c>
      <c r="J196" s="71" t="n"/>
    </row>
    <row r="197">
      <c r="A197" s="62" t="inlineStr">
        <is>
          <t>C</t>
        </is>
      </c>
      <c r="B197" s="60">
        <f>IF(E197&gt;1/1/2001,B196+1," ")</f>
        <v/>
      </c>
      <c r="C197" s="59">
        <f>IF(B197&lt;&gt;" ",CONCATENATE(A197,B197)," ")</f>
        <v/>
      </c>
      <c r="J197" s="71" t="n"/>
    </row>
    <row r="198">
      <c r="A198" s="62" t="inlineStr">
        <is>
          <t>C</t>
        </is>
      </c>
      <c r="B198" s="60">
        <f>IF(E198&gt;1/1/2001,B197+1," ")</f>
        <v/>
      </c>
      <c r="C198" s="59">
        <f>IF(B198&lt;&gt;" ",CONCATENATE(A198,B198)," ")</f>
        <v/>
      </c>
      <c r="J198" s="71" t="n"/>
    </row>
    <row r="199">
      <c r="A199" s="62" t="inlineStr">
        <is>
          <t>C</t>
        </is>
      </c>
      <c r="B199" s="60">
        <f>IF(E199&gt;1/1/2001,B198+1," ")</f>
        <v/>
      </c>
      <c r="C199" s="59">
        <f>IF(B199&lt;&gt;" ",CONCATENATE(A199,B199)," ")</f>
        <v/>
      </c>
      <c r="J199" s="71" t="n"/>
    </row>
    <row r="200">
      <c r="A200" s="62" t="inlineStr">
        <is>
          <t>C</t>
        </is>
      </c>
      <c r="B200" s="60">
        <f>IF(E200&gt;1/1/2001,B199+1," ")</f>
        <v/>
      </c>
      <c r="C200" s="59">
        <f>IF(B200&lt;&gt;" ",CONCATENATE(A200,B200)," ")</f>
        <v/>
      </c>
      <c r="J200" s="71" t="n"/>
    </row>
    <row r="201">
      <c r="A201" s="62" t="inlineStr">
        <is>
          <t>C</t>
        </is>
      </c>
      <c r="B201" s="60">
        <f>IF(E201&gt;1/1/2001,B200+1," ")</f>
        <v/>
      </c>
      <c r="C201" s="59">
        <f>IF(B201&lt;&gt;" ",CONCATENATE(A201,B201)," ")</f>
        <v/>
      </c>
      <c r="J201" s="71" t="n"/>
    </row>
    <row r="202">
      <c r="A202" s="62" t="inlineStr">
        <is>
          <t>C</t>
        </is>
      </c>
      <c r="B202" s="60">
        <f>IF(E202&gt;1/1/2001,B201+1," ")</f>
        <v/>
      </c>
      <c r="C202" s="59">
        <f>IF(B202&lt;&gt;" ",CONCATENATE(A202,B202)," ")</f>
        <v/>
      </c>
      <c r="J202" s="71" t="n"/>
    </row>
    <row r="203">
      <c r="A203" s="62" t="inlineStr">
        <is>
          <t>C</t>
        </is>
      </c>
      <c r="B203" s="60">
        <f>IF(E203&gt;1/1/2001,B202+1," ")</f>
        <v/>
      </c>
      <c r="C203" s="59">
        <f>IF(B203&lt;&gt;" ",CONCATENATE(A203,B203)," ")</f>
        <v/>
      </c>
      <c r="J203" s="71" t="n"/>
    </row>
    <row r="204">
      <c r="A204" s="62" t="inlineStr">
        <is>
          <t>C</t>
        </is>
      </c>
      <c r="B204" s="60">
        <f>IF(E204&gt;1/1/2001,B203+1," ")</f>
        <v/>
      </c>
      <c r="C204" s="59">
        <f>IF(B204&lt;&gt;" ",CONCATENATE(A204,B204)," ")</f>
        <v/>
      </c>
      <c r="J204" s="71" t="n"/>
    </row>
    <row r="205">
      <c r="A205" s="62" t="inlineStr">
        <is>
          <t>C</t>
        </is>
      </c>
      <c r="B205" s="60">
        <f>IF(E205&gt;1/1/2001,B204+1," ")</f>
        <v/>
      </c>
      <c r="C205" s="59">
        <f>IF(B205&lt;&gt;" ",CONCATENATE(A205,B205)," ")</f>
        <v/>
      </c>
      <c r="J205" s="71" t="n"/>
    </row>
    <row r="206">
      <c r="A206" s="62" t="inlineStr">
        <is>
          <t>C</t>
        </is>
      </c>
      <c r="B206" s="60">
        <f>IF(E206&gt;1/1/2001,B205+1," ")</f>
        <v/>
      </c>
      <c r="C206" s="59">
        <f>IF(B206&lt;&gt;" ",CONCATENATE(A206,B206)," ")</f>
        <v/>
      </c>
      <c r="J206" s="71" t="n"/>
    </row>
    <row r="207">
      <c r="A207" s="62" t="inlineStr">
        <is>
          <t>C</t>
        </is>
      </c>
      <c r="B207" s="60">
        <f>IF(E207&gt;1/1/2001,B206+1," ")</f>
        <v/>
      </c>
      <c r="C207" s="59">
        <f>IF(B207&lt;&gt;" ",CONCATENATE(A207,B207)," ")</f>
        <v/>
      </c>
      <c r="J207" s="71" t="n"/>
    </row>
    <row r="208">
      <c r="A208" s="62" t="inlineStr">
        <is>
          <t>C</t>
        </is>
      </c>
      <c r="B208" s="60">
        <f>IF(E208&gt;1/1/2001,B207+1," ")</f>
        <v/>
      </c>
      <c r="C208" s="59">
        <f>IF(B208&lt;&gt;" ",CONCATENATE(A208,B208)," ")</f>
        <v/>
      </c>
      <c r="J208" s="71" t="n"/>
    </row>
    <row r="209">
      <c r="A209" s="62" t="inlineStr">
        <is>
          <t>C</t>
        </is>
      </c>
      <c r="B209" s="60">
        <f>IF(E209&gt;1/1/2001,B208+1," ")</f>
        <v/>
      </c>
      <c r="C209" s="59">
        <f>IF(B209&lt;&gt;" ",CONCATENATE(A209,B209)," ")</f>
        <v/>
      </c>
      <c r="J209" s="71" t="n"/>
    </row>
    <row r="210">
      <c r="A210" s="62" t="inlineStr">
        <is>
          <t>C</t>
        </is>
      </c>
      <c r="B210" s="60">
        <f>IF(E210&gt;1/1/2001,B209+1," ")</f>
        <v/>
      </c>
      <c r="C210" s="59">
        <f>IF(B210&lt;&gt;" ",CONCATENATE(A210,B210)," ")</f>
        <v/>
      </c>
      <c r="J210" s="71" t="n"/>
    </row>
    <row r="211">
      <c r="A211" s="62" t="inlineStr">
        <is>
          <t>C</t>
        </is>
      </c>
      <c r="B211" s="60">
        <f>IF(E211&gt;1/1/2001,B210+1," ")</f>
        <v/>
      </c>
      <c r="C211" s="59">
        <f>IF(B211&lt;&gt;" ",CONCATENATE(A211,B211)," ")</f>
        <v/>
      </c>
      <c r="J211" s="71" t="n"/>
    </row>
    <row r="212">
      <c r="A212" s="62" t="inlineStr">
        <is>
          <t>C</t>
        </is>
      </c>
      <c r="B212" s="60">
        <f>IF(E212&gt;1/1/2001,B211+1," ")</f>
        <v/>
      </c>
      <c r="C212" s="59">
        <f>IF(B212&lt;&gt;" ",CONCATENATE(A212,B212)," ")</f>
        <v/>
      </c>
      <c r="J212" s="71" t="n"/>
    </row>
    <row r="213">
      <c r="A213" s="62" t="inlineStr">
        <is>
          <t>C</t>
        </is>
      </c>
      <c r="B213" s="60">
        <f>IF(E213&gt;1/1/2001,B212+1," ")</f>
        <v/>
      </c>
      <c r="C213" s="59">
        <f>IF(B213&lt;&gt;" ",CONCATENATE(A213,B213)," ")</f>
        <v/>
      </c>
      <c r="J213" s="71" t="n"/>
    </row>
    <row r="214">
      <c r="A214" s="62" t="inlineStr">
        <is>
          <t>C</t>
        </is>
      </c>
      <c r="B214" s="60">
        <f>IF(E214&gt;1/1/2001,B213+1," ")</f>
        <v/>
      </c>
      <c r="C214" s="59">
        <f>IF(B214&lt;&gt;" ",CONCATENATE(A214,B214)," ")</f>
        <v/>
      </c>
      <c r="J214" s="71" t="n"/>
    </row>
    <row r="215">
      <c r="A215" s="62" t="inlineStr">
        <is>
          <t>C</t>
        </is>
      </c>
      <c r="B215" s="60">
        <f>IF(E215&gt;1/1/2001,B214+1," ")</f>
        <v/>
      </c>
      <c r="C215" s="59">
        <f>IF(B215&lt;&gt;" ",CONCATENATE(A215,B215)," ")</f>
        <v/>
      </c>
      <c r="J215" s="71" t="n"/>
    </row>
    <row r="216">
      <c r="A216" s="62" t="inlineStr">
        <is>
          <t>C</t>
        </is>
      </c>
      <c r="B216" s="60">
        <f>IF(E216&gt;1/1/2001,B215+1," ")</f>
        <v/>
      </c>
      <c r="C216" s="59">
        <f>IF(B216&lt;&gt;" ",CONCATENATE(A216,B216)," ")</f>
        <v/>
      </c>
      <c r="J216" s="71" t="n"/>
    </row>
    <row r="217">
      <c r="A217" s="62" t="inlineStr">
        <is>
          <t>C</t>
        </is>
      </c>
      <c r="B217" s="60">
        <f>IF(E217&gt;1/1/2001,B216+1," ")</f>
        <v/>
      </c>
      <c r="C217" s="59">
        <f>IF(B217&lt;&gt;" ",CONCATENATE(A217,B217)," ")</f>
        <v/>
      </c>
      <c r="J217" s="71" t="n"/>
    </row>
    <row r="218">
      <c r="A218" s="62" t="inlineStr">
        <is>
          <t>C</t>
        </is>
      </c>
      <c r="B218" s="60">
        <f>IF(E218&gt;1/1/2001,B217+1," ")</f>
        <v/>
      </c>
      <c r="C218" s="59">
        <f>IF(B218&lt;&gt;" ",CONCATENATE(A218,B218)," ")</f>
        <v/>
      </c>
      <c r="J218" s="71" t="n"/>
    </row>
    <row r="219">
      <c r="A219" s="62" t="inlineStr">
        <is>
          <t>C</t>
        </is>
      </c>
      <c r="B219" s="60">
        <f>IF(E219&gt;1/1/2001,B218+1," ")</f>
        <v/>
      </c>
      <c r="C219" s="59">
        <f>IF(B219&lt;&gt;" ",CONCATENATE(A219,B219)," ")</f>
        <v/>
      </c>
      <c r="J219" s="71" t="n"/>
    </row>
    <row r="220">
      <c r="A220" s="62" t="inlineStr">
        <is>
          <t>C</t>
        </is>
      </c>
      <c r="B220" s="60">
        <f>IF(E220&gt;1/1/2001,B219+1," ")</f>
        <v/>
      </c>
      <c r="C220" s="59">
        <f>IF(B220&lt;&gt;" ",CONCATENATE(A220,B220)," ")</f>
        <v/>
      </c>
      <c r="J220" s="71" t="n"/>
    </row>
    <row r="221">
      <c r="A221" s="62" t="inlineStr">
        <is>
          <t>C</t>
        </is>
      </c>
      <c r="B221" s="60">
        <f>IF(E221&gt;1/1/2001,B220+1," ")</f>
        <v/>
      </c>
      <c r="C221" s="59">
        <f>IF(B221&lt;&gt;" ",CONCATENATE(A221,B221)," ")</f>
        <v/>
      </c>
      <c r="J221" s="71" t="n"/>
    </row>
    <row r="222">
      <c r="A222" s="62" t="inlineStr">
        <is>
          <t>C</t>
        </is>
      </c>
      <c r="B222" s="60">
        <f>IF(E222&gt;1/1/2001,B221+1," ")</f>
        <v/>
      </c>
      <c r="C222" s="59">
        <f>IF(B222&lt;&gt;" ",CONCATENATE(A222,B222)," ")</f>
        <v/>
      </c>
      <c r="J222" s="71" t="n"/>
    </row>
    <row r="223">
      <c r="A223" s="62" t="inlineStr">
        <is>
          <t>C</t>
        </is>
      </c>
      <c r="B223" s="60">
        <f>IF(E223&gt;1/1/2001,B222+1," ")</f>
        <v/>
      </c>
      <c r="C223" s="59">
        <f>IF(B223&lt;&gt;" ",CONCATENATE(A223,B223)," ")</f>
        <v/>
      </c>
      <c r="J223" s="71" t="n"/>
    </row>
    <row r="224">
      <c r="A224" s="62" t="inlineStr">
        <is>
          <t>C</t>
        </is>
      </c>
      <c r="B224" s="60">
        <f>IF(E224&gt;1/1/2001,B223+1," ")</f>
        <v/>
      </c>
      <c r="C224" s="59">
        <f>IF(B224&lt;&gt;" ",CONCATENATE(A224,B224)," ")</f>
        <v/>
      </c>
      <c r="J224" s="71" t="n"/>
    </row>
    <row r="225">
      <c r="A225" s="62" t="inlineStr">
        <is>
          <t>C</t>
        </is>
      </c>
      <c r="B225" s="60">
        <f>IF(E225&gt;1/1/2001,B224+1," ")</f>
        <v/>
      </c>
      <c r="C225" s="59">
        <f>IF(B225&lt;&gt;" ",CONCATENATE(A225,B225)," ")</f>
        <v/>
      </c>
      <c r="J225" s="71" t="n"/>
    </row>
    <row r="226">
      <c r="A226" s="62" t="inlineStr">
        <is>
          <t>C</t>
        </is>
      </c>
      <c r="B226" s="60">
        <f>IF(E226&gt;1/1/2001,B225+1," ")</f>
        <v/>
      </c>
      <c r="C226" s="59">
        <f>IF(B226&lt;&gt;" ",CONCATENATE(A226,B226)," ")</f>
        <v/>
      </c>
      <c r="J226" s="71" t="n"/>
    </row>
    <row r="227">
      <c r="A227" s="62" t="inlineStr">
        <is>
          <t>C</t>
        </is>
      </c>
      <c r="B227" s="60">
        <f>IF(E227&gt;1/1/2001,B226+1," ")</f>
        <v/>
      </c>
      <c r="C227" s="59">
        <f>IF(B227&lt;&gt;" ",CONCATENATE(A227,B227)," ")</f>
        <v/>
      </c>
      <c r="J227" s="71" t="n"/>
    </row>
    <row r="228">
      <c r="A228" s="62" t="inlineStr">
        <is>
          <t>C</t>
        </is>
      </c>
      <c r="B228" s="60">
        <f>IF(E228&gt;1/1/2001,B227+1," ")</f>
        <v/>
      </c>
      <c r="C228" s="59">
        <f>IF(B228&lt;&gt;" ",CONCATENATE(A228,B228)," ")</f>
        <v/>
      </c>
      <c r="J228" s="71" t="n"/>
    </row>
    <row r="229">
      <c r="A229" s="62" t="inlineStr">
        <is>
          <t>C</t>
        </is>
      </c>
      <c r="B229" s="60">
        <f>IF(E229&gt;1/1/2001,B228+1," ")</f>
        <v/>
      </c>
      <c r="C229" s="59">
        <f>IF(B229&lt;&gt;" ",CONCATENATE(A229,B229)," ")</f>
        <v/>
      </c>
      <c r="J229" s="71" t="n"/>
    </row>
    <row r="230">
      <c r="A230" s="62" t="inlineStr">
        <is>
          <t>C</t>
        </is>
      </c>
      <c r="B230" s="60">
        <f>IF(E230&gt;1/1/2001,B229+1," ")</f>
        <v/>
      </c>
      <c r="C230" s="59">
        <f>IF(B230&lt;&gt;" ",CONCATENATE(A230,B230)," ")</f>
        <v/>
      </c>
      <c r="J230" s="71" t="n"/>
    </row>
    <row r="231">
      <c r="A231" s="62" t="inlineStr">
        <is>
          <t>C</t>
        </is>
      </c>
      <c r="B231" s="60">
        <f>IF(E231&gt;1/1/2001,B230+1," ")</f>
        <v/>
      </c>
      <c r="C231" s="59">
        <f>IF(B231&lt;&gt;" ",CONCATENATE(A231,B231)," ")</f>
        <v/>
      </c>
      <c r="J231" s="71" t="n"/>
    </row>
    <row r="232">
      <c r="A232" s="62" t="inlineStr">
        <is>
          <t>C</t>
        </is>
      </c>
      <c r="B232" s="60">
        <f>IF(E232&gt;1/1/2001,B231+1," ")</f>
        <v/>
      </c>
      <c r="C232" s="59">
        <f>IF(B232&lt;&gt;" ",CONCATENATE(A232,B232)," ")</f>
        <v/>
      </c>
      <c r="J232" s="71" t="n"/>
    </row>
    <row r="233">
      <c r="A233" s="62" t="inlineStr">
        <is>
          <t>C</t>
        </is>
      </c>
      <c r="B233" s="60">
        <f>IF(E233&gt;1/1/2001,B232+1," ")</f>
        <v/>
      </c>
      <c r="C233" s="59">
        <f>IF(B233&lt;&gt;" ",CONCATENATE(A233,B233)," ")</f>
        <v/>
      </c>
      <c r="J233" s="71" t="n"/>
    </row>
    <row r="234">
      <c r="A234" s="62" t="inlineStr">
        <is>
          <t>C</t>
        </is>
      </c>
      <c r="B234" s="60">
        <f>IF(E234&gt;1/1/2001,B233+1," ")</f>
        <v/>
      </c>
      <c r="C234" s="59">
        <f>IF(B234&lt;&gt;" ",CONCATENATE(A234,B234)," ")</f>
        <v/>
      </c>
      <c r="J234" s="71" t="n"/>
    </row>
    <row r="235">
      <c r="A235" s="62" t="inlineStr">
        <is>
          <t>C</t>
        </is>
      </c>
      <c r="B235" s="60">
        <f>IF(E235&gt;1/1/2001,B234+1," ")</f>
        <v/>
      </c>
      <c r="C235" s="59">
        <f>IF(B235&lt;&gt;" ",CONCATENATE(A235,B235)," ")</f>
        <v/>
      </c>
      <c r="J235" s="71" t="n"/>
    </row>
    <row r="236">
      <c r="A236" s="62" t="inlineStr">
        <is>
          <t>C</t>
        </is>
      </c>
      <c r="B236" s="60">
        <f>IF(E236&gt;1/1/2001,B235+1," ")</f>
        <v/>
      </c>
      <c r="C236" s="59">
        <f>IF(B236&lt;&gt;" ",CONCATENATE(A236,B236)," ")</f>
        <v/>
      </c>
      <c r="J236" s="71" t="n"/>
    </row>
    <row r="237">
      <c r="A237" s="62" t="inlineStr">
        <is>
          <t>C</t>
        </is>
      </c>
      <c r="B237" s="60">
        <f>IF(E237&gt;1/1/2001,B236+1," ")</f>
        <v/>
      </c>
      <c r="C237" s="59">
        <f>IF(B237&lt;&gt;" ",CONCATENATE(A237,B237)," ")</f>
        <v/>
      </c>
      <c r="J237" s="71" t="n"/>
    </row>
    <row r="238">
      <c r="A238" s="62" t="inlineStr">
        <is>
          <t>C</t>
        </is>
      </c>
      <c r="B238" s="60">
        <f>IF(E238&gt;1/1/2001,B237+1," ")</f>
        <v/>
      </c>
      <c r="C238" s="59">
        <f>IF(B238&lt;&gt;" ",CONCATENATE(A238,B238)," ")</f>
        <v/>
      </c>
      <c r="J238" s="71" t="n"/>
    </row>
    <row r="239">
      <c r="A239" s="62" t="inlineStr">
        <is>
          <t>C</t>
        </is>
      </c>
      <c r="B239" s="60">
        <f>IF(E239&gt;1/1/2001,B238+1," ")</f>
        <v/>
      </c>
      <c r="C239" s="59">
        <f>IF(B239&lt;&gt;" ",CONCATENATE(A239,B239)," ")</f>
        <v/>
      </c>
      <c r="J239" s="71" t="n"/>
    </row>
    <row r="240">
      <c r="A240" s="62" t="inlineStr">
        <is>
          <t>C</t>
        </is>
      </c>
      <c r="B240" s="60">
        <f>IF(E240&gt;1/1/2001,B239+1," ")</f>
        <v/>
      </c>
      <c r="C240" s="59">
        <f>IF(B240&lt;&gt;" ",CONCATENATE(A240,B240)," ")</f>
        <v/>
      </c>
      <c r="J240" s="71" t="n"/>
    </row>
    <row r="241">
      <c r="A241" s="62" t="inlineStr">
        <is>
          <t>C</t>
        </is>
      </c>
      <c r="B241" s="60">
        <f>IF(E241&gt;1/1/2001,B240+1," ")</f>
        <v/>
      </c>
      <c r="C241" s="59">
        <f>IF(B241&lt;&gt;" ",CONCATENATE(A241,B241)," ")</f>
        <v/>
      </c>
      <c r="J241" s="71" t="n"/>
    </row>
    <row r="242">
      <c r="A242" s="62" t="inlineStr">
        <is>
          <t>C</t>
        </is>
      </c>
      <c r="B242" s="60">
        <f>IF(E242&gt;1/1/2001,B241+1," ")</f>
        <v/>
      </c>
      <c r="C242" s="59">
        <f>IF(B242&lt;&gt;" ",CONCATENATE(A242,B242)," ")</f>
        <v/>
      </c>
      <c r="J242" s="71" t="n"/>
    </row>
    <row r="243">
      <c r="A243" s="62" t="inlineStr">
        <is>
          <t>C</t>
        </is>
      </c>
      <c r="B243" s="60">
        <f>IF(E243&gt;1/1/2001,B242+1," ")</f>
        <v/>
      </c>
      <c r="C243" s="59">
        <f>IF(B243&lt;&gt;" ",CONCATENATE(A243,B243)," ")</f>
        <v/>
      </c>
      <c r="J243" s="71" t="n"/>
    </row>
    <row r="244">
      <c r="A244" s="62" t="inlineStr">
        <is>
          <t>C</t>
        </is>
      </c>
      <c r="B244" s="60">
        <f>IF(E244&gt;1/1/2001,B243+1," ")</f>
        <v/>
      </c>
      <c r="C244" s="59">
        <f>IF(B244&lt;&gt;" ",CONCATENATE(A244,B244)," ")</f>
        <v/>
      </c>
      <c r="J244" s="71" t="n"/>
    </row>
    <row r="245">
      <c r="A245" s="62" t="inlineStr">
        <is>
          <t>C</t>
        </is>
      </c>
      <c r="B245" s="60">
        <f>IF(E245&gt;1/1/2001,B244+1," ")</f>
        <v/>
      </c>
      <c r="C245" s="59">
        <f>IF(B245&lt;&gt;" ",CONCATENATE(A245,B245)," ")</f>
        <v/>
      </c>
      <c r="J245" s="71" t="n"/>
    </row>
    <row r="246">
      <c r="A246" s="62" t="inlineStr">
        <is>
          <t>C</t>
        </is>
      </c>
      <c r="B246" s="60">
        <f>IF(E246&gt;1/1/2001,B245+1," ")</f>
        <v/>
      </c>
      <c r="C246" s="59">
        <f>IF(B246&lt;&gt;" ",CONCATENATE(A246,B246)," ")</f>
        <v/>
      </c>
      <c r="J246" s="71" t="n"/>
    </row>
    <row r="247">
      <c r="A247" s="62" t="inlineStr">
        <is>
          <t>C</t>
        </is>
      </c>
      <c r="B247" s="60">
        <f>IF(E247&gt;1/1/2001,B246+1," ")</f>
        <v/>
      </c>
      <c r="C247" s="59">
        <f>IF(B247&lt;&gt;" ",CONCATENATE(A247,B247)," ")</f>
        <v/>
      </c>
      <c r="J247" s="71" t="n"/>
    </row>
    <row r="248">
      <c r="A248" s="62" t="inlineStr">
        <is>
          <t>C</t>
        </is>
      </c>
      <c r="B248" s="60">
        <f>IF(E248&gt;1/1/2001,B247+1," ")</f>
        <v/>
      </c>
      <c r="C248" s="59">
        <f>IF(B248&lt;&gt;" ",CONCATENATE(A248,B248)," ")</f>
        <v/>
      </c>
      <c r="J248" s="71" t="n"/>
    </row>
    <row r="249">
      <c r="A249" s="62" t="inlineStr">
        <is>
          <t>C</t>
        </is>
      </c>
      <c r="B249" s="60">
        <f>IF(E249&gt;1/1/2001,B248+1," ")</f>
        <v/>
      </c>
      <c r="C249" s="59">
        <f>IF(B249&lt;&gt;" ",CONCATENATE(A249,B249)," ")</f>
        <v/>
      </c>
      <c r="J249" s="71" t="n"/>
    </row>
    <row r="250">
      <c r="A250" s="62" t="inlineStr">
        <is>
          <t>C</t>
        </is>
      </c>
      <c r="B250" s="60">
        <f>IF(E250&gt;1/1/2001,B249+1," ")</f>
        <v/>
      </c>
      <c r="C250" s="59">
        <f>IF(B250&lt;&gt;" ",CONCATENATE(A250,B250)," ")</f>
        <v/>
      </c>
      <c r="J250" s="71" t="n"/>
    </row>
    <row r="251">
      <c r="A251" s="62" t="inlineStr">
        <is>
          <t>C</t>
        </is>
      </c>
      <c r="B251" s="60">
        <f>IF(E251&gt;1/1/2001,B250+1," ")</f>
        <v/>
      </c>
      <c r="C251" s="59">
        <f>IF(B251&lt;&gt;" ",CONCATENATE(A251,B251)," ")</f>
        <v/>
      </c>
      <c r="J251" s="71" t="n"/>
    </row>
    <row r="252">
      <c r="A252" s="62" t="inlineStr">
        <is>
          <t>C</t>
        </is>
      </c>
      <c r="B252" s="60">
        <f>IF(E252&gt;1/1/2001,B251+1," ")</f>
        <v/>
      </c>
      <c r="C252" s="59">
        <f>IF(B252&lt;&gt;" ",CONCATENATE(A252,B252)," ")</f>
        <v/>
      </c>
      <c r="J252" s="71" t="n"/>
    </row>
    <row r="253">
      <c r="A253" s="62" t="inlineStr">
        <is>
          <t>C</t>
        </is>
      </c>
      <c r="B253" s="60">
        <f>IF(E253&gt;1/1/2001,B252+1," ")</f>
        <v/>
      </c>
      <c r="C253" s="59">
        <f>IF(B253&lt;&gt;" ",CONCATENATE(A253,B253)," ")</f>
        <v/>
      </c>
      <c r="J253" s="71" t="n"/>
    </row>
    <row r="254">
      <c r="A254" s="62" t="inlineStr">
        <is>
          <t>C</t>
        </is>
      </c>
      <c r="B254" s="60">
        <f>IF(E254&gt;1/1/2001,B253+1," ")</f>
        <v/>
      </c>
      <c r="C254" s="59">
        <f>IF(B254&lt;&gt;" ",CONCATENATE(A254,B254)," ")</f>
        <v/>
      </c>
      <c r="J254" s="71" t="n"/>
    </row>
    <row r="255">
      <c r="A255" s="62" t="inlineStr">
        <is>
          <t>C</t>
        </is>
      </c>
      <c r="B255" s="60">
        <f>IF(E255&gt;1/1/2001,B254+1," ")</f>
        <v/>
      </c>
      <c r="C255" s="59">
        <f>IF(B255&lt;&gt;" ",CONCATENATE(A255,B255)," ")</f>
        <v/>
      </c>
      <c r="J255" s="71" t="n"/>
    </row>
    <row r="256">
      <c r="A256" s="62" t="inlineStr">
        <is>
          <t>C</t>
        </is>
      </c>
      <c r="B256" s="60">
        <f>IF(E256&gt;1/1/2001,B255+1," ")</f>
        <v/>
      </c>
      <c r="C256" s="59">
        <f>IF(B256&lt;&gt;" ",CONCATENATE(A256,B256)," ")</f>
        <v/>
      </c>
      <c r="J256" s="71" t="n"/>
    </row>
    <row r="257">
      <c r="A257" s="62" t="inlineStr">
        <is>
          <t>C</t>
        </is>
      </c>
      <c r="B257" s="60">
        <f>IF(E257&gt;1/1/2001,B256+1," ")</f>
        <v/>
      </c>
      <c r="C257" s="59">
        <f>IF(B257&lt;&gt;" ",CONCATENATE(A257,B257)," ")</f>
        <v/>
      </c>
      <c r="J257" s="71" t="n"/>
    </row>
    <row r="258">
      <c r="A258" s="62" t="inlineStr">
        <is>
          <t>C</t>
        </is>
      </c>
      <c r="B258" s="60">
        <f>IF(E258&gt;1/1/2001,B257+1," ")</f>
        <v/>
      </c>
      <c r="C258" s="59">
        <f>IF(B258&lt;&gt;" ",CONCATENATE(A258,B258)," ")</f>
        <v/>
      </c>
      <c r="J258" s="71" t="n"/>
    </row>
    <row r="259">
      <c r="A259" s="62" t="inlineStr">
        <is>
          <t>C</t>
        </is>
      </c>
      <c r="B259" s="60">
        <f>IF(E259&gt;1/1/2001,B258+1," ")</f>
        <v/>
      </c>
      <c r="C259" s="59">
        <f>IF(B259&lt;&gt;" ",CONCATENATE(A259,B259)," ")</f>
        <v/>
      </c>
      <c r="J259" s="71" t="n"/>
    </row>
    <row r="260">
      <c r="A260" s="62" t="inlineStr">
        <is>
          <t>C</t>
        </is>
      </c>
      <c r="B260" s="60">
        <f>IF(E260&gt;1/1/2001,B259+1," ")</f>
        <v/>
      </c>
      <c r="C260" s="59">
        <f>IF(B260&lt;&gt;" ",CONCATENATE(A260,B260)," ")</f>
        <v/>
      </c>
      <c r="J260" s="71" t="n"/>
    </row>
    <row r="261">
      <c r="A261" s="62" t="inlineStr">
        <is>
          <t>C</t>
        </is>
      </c>
      <c r="B261" s="60">
        <f>IF(E261&gt;1/1/2001,B260+1," ")</f>
        <v/>
      </c>
      <c r="C261" s="59">
        <f>IF(B261&lt;&gt;" ",CONCATENATE(A261,B261)," ")</f>
        <v/>
      </c>
      <c r="J261" s="71" t="n"/>
    </row>
    <row r="262">
      <c r="A262" s="62" t="inlineStr">
        <is>
          <t>C</t>
        </is>
      </c>
      <c r="B262" s="60">
        <f>IF(E262&gt;1/1/2001,B261+1," ")</f>
        <v/>
      </c>
      <c r="C262" s="59">
        <f>IF(B262&lt;&gt;" ",CONCATENATE(A262,B262)," ")</f>
        <v/>
      </c>
      <c r="J262" s="71" t="n"/>
    </row>
    <row r="263">
      <c r="A263" s="62" t="inlineStr">
        <is>
          <t>C</t>
        </is>
      </c>
      <c r="B263" s="60">
        <f>IF(E263&gt;1/1/2001,B262+1," ")</f>
        <v/>
      </c>
      <c r="C263" s="59">
        <f>IF(B263&lt;&gt;" ",CONCATENATE(A263,B263)," ")</f>
        <v/>
      </c>
      <c r="J263" s="71" t="n"/>
    </row>
    <row r="264">
      <c r="A264" s="62" t="inlineStr">
        <is>
          <t>C</t>
        </is>
      </c>
      <c r="B264" s="60">
        <f>IF(E264&gt;1/1/2001,B263+1," ")</f>
        <v/>
      </c>
      <c r="C264" s="59">
        <f>IF(B264&lt;&gt;" ",CONCATENATE(A264,B264)," ")</f>
        <v/>
      </c>
      <c r="J264" s="71" t="n"/>
    </row>
    <row r="265">
      <c r="A265" s="62" t="inlineStr">
        <is>
          <t>C</t>
        </is>
      </c>
      <c r="B265" s="60">
        <f>IF(E265&gt;1/1/2001,B264+1," ")</f>
        <v/>
      </c>
      <c r="C265" s="59">
        <f>IF(B265&lt;&gt;" ",CONCATENATE(A265,B265)," ")</f>
        <v/>
      </c>
      <c r="J265" s="71" t="n"/>
    </row>
    <row r="266">
      <c r="A266" s="62" t="inlineStr">
        <is>
          <t>C</t>
        </is>
      </c>
      <c r="B266" s="60">
        <f>IF(E266&gt;1/1/2001,B265+1," ")</f>
        <v/>
      </c>
      <c r="C266" s="59">
        <f>IF(B266&lt;&gt;" ",CONCATENATE(A266,B266)," ")</f>
        <v/>
      </c>
      <c r="J266" s="71" t="n"/>
    </row>
    <row r="267">
      <c r="A267" s="62" t="inlineStr">
        <is>
          <t>C</t>
        </is>
      </c>
      <c r="B267" s="60">
        <f>IF(E267&gt;1/1/2001,B266+1," ")</f>
        <v/>
      </c>
      <c r="C267" s="59">
        <f>IF(B267&lt;&gt;" ",CONCATENATE(A267,B267)," ")</f>
        <v/>
      </c>
      <c r="J267" s="71" t="n"/>
    </row>
    <row r="268">
      <c r="A268" s="62" t="inlineStr">
        <is>
          <t>C</t>
        </is>
      </c>
      <c r="B268" s="60">
        <f>IF(E268&gt;1/1/2001,B267+1," ")</f>
        <v/>
      </c>
      <c r="C268" s="59">
        <f>IF(B268&lt;&gt;" ",CONCATENATE(A268,B268)," ")</f>
        <v/>
      </c>
      <c r="J268" s="71" t="n"/>
    </row>
    <row r="269">
      <c r="A269" s="62" t="inlineStr">
        <is>
          <t>C</t>
        </is>
      </c>
      <c r="B269" s="60">
        <f>IF(E269&gt;1/1/2001,B268+1," ")</f>
        <v/>
      </c>
      <c r="C269" s="59">
        <f>IF(B269&lt;&gt;" ",CONCATENATE(A269,B269)," ")</f>
        <v/>
      </c>
      <c r="J269" s="71" t="n"/>
    </row>
    <row r="270">
      <c r="A270" s="62" t="inlineStr">
        <is>
          <t>C</t>
        </is>
      </c>
      <c r="B270" s="60">
        <f>IF(E270&gt;1/1/2001,B269+1," ")</f>
        <v/>
      </c>
      <c r="C270" s="59">
        <f>IF(B270&lt;&gt;" ",CONCATENATE(A270,B270)," ")</f>
        <v/>
      </c>
      <c r="J270" s="71" t="n"/>
    </row>
    <row r="271">
      <c r="A271" s="62" t="inlineStr">
        <is>
          <t>C</t>
        </is>
      </c>
      <c r="B271" s="60">
        <f>IF(E271&gt;1/1/2001,B270+1," ")</f>
        <v/>
      </c>
      <c r="C271" s="59">
        <f>IF(B271&lt;&gt;" ",CONCATENATE(A271,B271)," ")</f>
        <v/>
      </c>
      <c r="J271" s="71" t="n"/>
    </row>
    <row r="272">
      <c r="A272" s="62" t="inlineStr">
        <is>
          <t>C</t>
        </is>
      </c>
      <c r="B272" s="60">
        <f>IF(E272&gt;1/1/2001,B271+1," ")</f>
        <v/>
      </c>
      <c r="C272" s="59">
        <f>IF(B272&lt;&gt;" ",CONCATENATE(A272,B272)," ")</f>
        <v/>
      </c>
      <c r="J272" s="71" t="n"/>
    </row>
    <row r="273">
      <c r="A273" s="62" t="inlineStr">
        <is>
          <t>C</t>
        </is>
      </c>
      <c r="B273" s="60">
        <f>IF(E273&gt;1/1/2001,B272+1," ")</f>
        <v/>
      </c>
      <c r="C273" s="59">
        <f>IF(B273&lt;&gt;" ",CONCATENATE(A273,B273)," ")</f>
        <v/>
      </c>
      <c r="J273" s="71" t="n"/>
    </row>
    <row r="274">
      <c r="A274" s="62" t="inlineStr">
        <is>
          <t>C</t>
        </is>
      </c>
      <c r="B274" s="60">
        <f>IF(E274&gt;1/1/2001,B273+1," ")</f>
        <v/>
      </c>
      <c r="C274" s="59">
        <f>IF(B274&lt;&gt;" ",CONCATENATE(A274,B274)," ")</f>
        <v/>
      </c>
      <c r="J274" s="71" t="n"/>
    </row>
    <row r="275">
      <c r="A275" s="62" t="inlineStr">
        <is>
          <t>C</t>
        </is>
      </c>
      <c r="B275" s="60">
        <f>IF(E275&gt;1/1/2001,B274+1," ")</f>
        <v/>
      </c>
      <c r="C275" s="59">
        <f>IF(B275&lt;&gt;" ",CONCATENATE(A275,B275)," ")</f>
        <v/>
      </c>
      <c r="J275" s="71" t="n"/>
    </row>
    <row r="276">
      <c r="A276" s="62" t="inlineStr">
        <is>
          <t>C</t>
        </is>
      </c>
      <c r="B276" s="60">
        <f>IF(E276&gt;1/1/2001,B275+1," ")</f>
        <v/>
      </c>
      <c r="C276" s="59">
        <f>IF(B276&lt;&gt;" ",CONCATENATE(A276,B276)," ")</f>
        <v/>
      </c>
      <c r="J276" s="71" t="n"/>
    </row>
    <row r="277">
      <c r="A277" s="62" t="inlineStr">
        <is>
          <t>C</t>
        </is>
      </c>
      <c r="B277" s="60">
        <f>IF(E277&gt;1/1/2001,B276+1," ")</f>
        <v/>
      </c>
      <c r="C277" s="59">
        <f>IF(B277&lt;&gt;" ",CONCATENATE(A277,B277)," ")</f>
        <v/>
      </c>
      <c r="J277" s="71" t="n"/>
    </row>
    <row r="278">
      <c r="A278" s="62" t="inlineStr">
        <is>
          <t>C</t>
        </is>
      </c>
      <c r="B278" s="60">
        <f>IF(E278&gt;1/1/2001,B277+1," ")</f>
        <v/>
      </c>
      <c r="C278" s="59">
        <f>IF(B278&lt;&gt;" ",CONCATENATE(A278,B278)," ")</f>
        <v/>
      </c>
      <c r="J278" s="71" t="n"/>
    </row>
    <row r="279">
      <c r="A279" s="62" t="inlineStr">
        <is>
          <t>C</t>
        </is>
      </c>
      <c r="B279" s="60">
        <f>IF(E279&gt;1/1/2001,B278+1," ")</f>
        <v/>
      </c>
      <c r="C279" s="59">
        <f>IF(B279&lt;&gt;" ",CONCATENATE(A279,B279)," ")</f>
        <v/>
      </c>
      <c r="J279" s="71" t="n"/>
    </row>
    <row r="280">
      <c r="A280" s="62" t="inlineStr">
        <is>
          <t>C</t>
        </is>
      </c>
      <c r="B280" s="60">
        <f>IF(E280&gt;1/1/2001,B279+1," ")</f>
        <v/>
      </c>
      <c r="C280" s="59">
        <f>IF(B280&lt;&gt;" ",CONCATENATE(A280,B280)," ")</f>
        <v/>
      </c>
      <c r="J280" s="71" t="n"/>
    </row>
    <row r="281">
      <c r="A281" s="62" t="inlineStr">
        <is>
          <t>C</t>
        </is>
      </c>
      <c r="B281" s="60">
        <f>IF(E281&gt;1/1/2001,B280+1," ")</f>
        <v/>
      </c>
      <c r="C281" s="59">
        <f>IF(B281&lt;&gt;" ",CONCATENATE(A281,B281)," ")</f>
        <v/>
      </c>
      <c r="J281" s="71" t="n"/>
    </row>
    <row r="282">
      <c r="A282" s="62" t="inlineStr">
        <is>
          <t>C</t>
        </is>
      </c>
      <c r="B282" s="60">
        <f>IF(E282&gt;1/1/2001,B281+1," ")</f>
        <v/>
      </c>
      <c r="C282" s="59">
        <f>IF(B282&lt;&gt;" ",CONCATENATE(A282,B282)," ")</f>
        <v/>
      </c>
      <c r="J282" s="71" t="n"/>
    </row>
    <row r="283">
      <c r="A283" s="62" t="inlineStr">
        <is>
          <t>C</t>
        </is>
      </c>
      <c r="B283" s="60">
        <f>IF(E283&gt;1/1/2001,B282+1," ")</f>
        <v/>
      </c>
      <c r="C283" s="59">
        <f>IF(B283&lt;&gt;" ",CONCATENATE(A283,B283)," ")</f>
        <v/>
      </c>
      <c r="J283" s="71" t="n"/>
    </row>
    <row r="284">
      <c r="A284" s="62" t="inlineStr">
        <is>
          <t>C</t>
        </is>
      </c>
      <c r="B284" s="60">
        <f>IF(E284&gt;1/1/2001,B283+1," ")</f>
        <v/>
      </c>
      <c r="C284" s="59">
        <f>IF(B284&lt;&gt;" ",CONCATENATE(A284,B284)," ")</f>
        <v/>
      </c>
      <c r="J284" s="71" t="n"/>
    </row>
    <row r="285">
      <c r="A285" s="62" t="inlineStr">
        <is>
          <t>C</t>
        </is>
      </c>
      <c r="B285" s="60">
        <f>IF(E285&gt;1/1/2001,B284+1," ")</f>
        <v/>
      </c>
      <c r="C285" s="59">
        <f>IF(B285&lt;&gt;" ",CONCATENATE(A285,B285)," ")</f>
        <v/>
      </c>
      <c r="J285" s="71" t="n"/>
    </row>
    <row r="286">
      <c r="A286" s="62" t="inlineStr">
        <is>
          <t>C</t>
        </is>
      </c>
      <c r="B286" s="60">
        <f>IF(E286&gt;1/1/2001,B285+1," ")</f>
        <v/>
      </c>
      <c r="C286" s="59">
        <f>IF(B286&lt;&gt;" ",CONCATENATE(A286,B286)," ")</f>
        <v/>
      </c>
      <c r="J286" s="71" t="n"/>
    </row>
    <row r="287">
      <c r="A287" s="62" t="inlineStr">
        <is>
          <t>C</t>
        </is>
      </c>
      <c r="B287" s="60">
        <f>IF(E287&gt;1/1/2001,B286+1," ")</f>
        <v/>
      </c>
      <c r="C287" s="59">
        <f>IF(B287&lt;&gt;" ",CONCATENATE(A287,B287)," ")</f>
        <v/>
      </c>
      <c r="J287" s="71" t="n"/>
    </row>
    <row r="288">
      <c r="A288" s="62" t="inlineStr">
        <is>
          <t>C</t>
        </is>
      </c>
      <c r="B288" s="60">
        <f>IF(E288&gt;1/1/2001,B287+1," ")</f>
        <v/>
      </c>
      <c r="C288" s="59">
        <f>IF(B288&lt;&gt;" ",CONCATENATE(A288,B288)," ")</f>
        <v/>
      </c>
      <c r="J288" s="71" t="n"/>
    </row>
    <row r="289">
      <c r="A289" s="62" t="inlineStr">
        <is>
          <t>C</t>
        </is>
      </c>
      <c r="B289" s="60">
        <f>IF(E289&gt;1/1/2001,B288+1," ")</f>
        <v/>
      </c>
      <c r="C289" s="59">
        <f>IF(B289&lt;&gt;" ",CONCATENATE(A289,B289)," ")</f>
        <v/>
      </c>
      <c r="J289" s="71" t="n"/>
    </row>
    <row r="290">
      <c r="A290" s="62" t="inlineStr">
        <is>
          <t>C</t>
        </is>
      </c>
      <c r="B290" s="60">
        <f>IF(E290&gt;1/1/2001,B289+1," ")</f>
        <v/>
      </c>
      <c r="C290" s="59">
        <f>IF(B290&lt;&gt;" ",CONCATENATE(A290,B290)," ")</f>
        <v/>
      </c>
      <c r="J290" s="71" t="n"/>
    </row>
    <row r="291">
      <c r="A291" s="62" t="inlineStr">
        <is>
          <t>C</t>
        </is>
      </c>
      <c r="B291" s="60">
        <f>IF(E291&gt;1/1/2001,B290+1," ")</f>
        <v/>
      </c>
      <c r="C291" s="59">
        <f>IF(B291&lt;&gt;" ",CONCATENATE(A291,B291)," ")</f>
        <v/>
      </c>
      <c r="J291" s="71" t="n"/>
    </row>
    <row r="292">
      <c r="A292" s="62" t="inlineStr">
        <is>
          <t>C</t>
        </is>
      </c>
      <c r="B292" s="60">
        <f>IF(E292&gt;1/1/2001,B291+1," ")</f>
        <v/>
      </c>
      <c r="C292" s="59">
        <f>IF(B292&lt;&gt;" ",CONCATENATE(A292,B292)," ")</f>
        <v/>
      </c>
      <c r="J292" s="71" t="n"/>
    </row>
    <row r="293">
      <c r="A293" s="62" t="inlineStr">
        <is>
          <t>C</t>
        </is>
      </c>
      <c r="B293" s="60">
        <f>IF(E293&gt;1/1/2001,B292+1," ")</f>
        <v/>
      </c>
      <c r="C293" s="59">
        <f>IF(B293&lt;&gt;" ",CONCATENATE(A293,B293)," ")</f>
        <v/>
      </c>
      <c r="J293" s="71" t="n"/>
    </row>
    <row r="294">
      <c r="A294" s="62" t="inlineStr">
        <is>
          <t>C</t>
        </is>
      </c>
      <c r="B294" s="60">
        <f>IF(E294&gt;1/1/2001,B293+1," ")</f>
        <v/>
      </c>
      <c r="C294" s="59">
        <f>IF(B294&lt;&gt;" ",CONCATENATE(A294,B294)," ")</f>
        <v/>
      </c>
      <c r="J294" s="71" t="n"/>
    </row>
    <row r="295">
      <c r="A295" s="62" t="inlineStr">
        <is>
          <t>C</t>
        </is>
      </c>
      <c r="B295" s="60">
        <f>IF(E295&gt;1/1/2001,B294+1," ")</f>
        <v/>
      </c>
      <c r="C295" s="59">
        <f>IF(B295&lt;&gt;" ",CONCATENATE(A295,B295)," ")</f>
        <v/>
      </c>
      <c r="J295" s="71" t="n"/>
    </row>
    <row r="296">
      <c r="A296" s="62" t="inlineStr">
        <is>
          <t>C</t>
        </is>
      </c>
      <c r="B296" s="60">
        <f>IF(E296&gt;1/1/2001,B295+1," ")</f>
        <v/>
      </c>
      <c r="C296" s="59">
        <f>IF(B296&lt;&gt;" ",CONCATENATE(A296,B296)," ")</f>
        <v/>
      </c>
      <c r="J296" s="71" t="n"/>
    </row>
    <row r="297">
      <c r="A297" s="62" t="inlineStr">
        <is>
          <t>C</t>
        </is>
      </c>
      <c r="B297" s="60">
        <f>IF(E297&gt;1/1/2001,B296+1," ")</f>
        <v/>
      </c>
      <c r="C297" s="59">
        <f>IF(B297&lt;&gt;" ",CONCATENATE(A297,B297)," ")</f>
        <v/>
      </c>
      <c r="J297" s="71" t="n"/>
    </row>
    <row r="298">
      <c r="A298" s="62" t="inlineStr">
        <is>
          <t>C</t>
        </is>
      </c>
      <c r="B298" s="60">
        <f>IF(E298&gt;1/1/2001,B297+1," ")</f>
        <v/>
      </c>
      <c r="C298" s="59">
        <f>IF(B298&lt;&gt;" ",CONCATENATE(A298,B298)," ")</f>
        <v/>
      </c>
      <c r="J298" s="71" t="n"/>
    </row>
    <row r="299">
      <c r="A299" s="62" t="inlineStr">
        <is>
          <t>C</t>
        </is>
      </c>
      <c r="B299" s="60">
        <f>IF(E299&gt;1/1/2001,B298+1," ")</f>
        <v/>
      </c>
      <c r="C299" s="59">
        <f>IF(B299&lt;&gt;" ",CONCATENATE(A299,B299)," ")</f>
        <v/>
      </c>
      <c r="J299" s="71" t="n"/>
    </row>
    <row r="300">
      <c r="A300" s="62" t="inlineStr">
        <is>
          <t>C</t>
        </is>
      </c>
      <c r="B300" s="60">
        <f>IF(E300&gt;1/1/2001,B299+1," ")</f>
        <v/>
      </c>
      <c r="C300" s="59">
        <f>IF(B300&lt;&gt;" ",CONCATENATE(A300,B300)," ")</f>
        <v/>
      </c>
      <c r="J300" s="71" t="n"/>
    </row>
    <row r="301">
      <c r="A301" s="62" t="inlineStr">
        <is>
          <t>C</t>
        </is>
      </c>
      <c r="B301" s="60">
        <f>IF(E301&gt;1/1/2001,B300+1," ")</f>
        <v/>
      </c>
      <c r="C301" s="59">
        <f>IF(B301&lt;&gt;" ",CONCATENATE(A301,B301)," ")</f>
        <v/>
      </c>
      <c r="J301" s="71" t="n"/>
    </row>
    <row r="302">
      <c r="A302" s="62" t="inlineStr">
        <is>
          <t>C</t>
        </is>
      </c>
      <c r="B302" s="60">
        <f>IF(E302&gt;1/1/2001,B301+1," ")</f>
        <v/>
      </c>
      <c r="C302" s="59">
        <f>IF(B302&lt;&gt;" ",CONCATENATE(A302,B302)," ")</f>
        <v/>
      </c>
      <c r="J302" s="71" t="n"/>
    </row>
    <row r="303">
      <c r="A303" s="62" t="inlineStr">
        <is>
          <t>C</t>
        </is>
      </c>
      <c r="B303" s="60">
        <f>IF(E303&gt;1/1/2001,B302+1," ")</f>
        <v/>
      </c>
      <c r="C303" s="59">
        <f>IF(B303&lt;&gt;" ",CONCATENATE(A303,B303)," ")</f>
        <v/>
      </c>
      <c r="J303" s="71" t="n"/>
    </row>
    <row r="304">
      <c r="A304" s="62" t="inlineStr">
        <is>
          <t>C</t>
        </is>
      </c>
      <c r="B304" s="60">
        <f>IF(E304&gt;1/1/2001,B303+1," ")</f>
        <v/>
      </c>
      <c r="C304" s="59">
        <f>IF(B304&lt;&gt;" ",CONCATENATE(A304,B304)," ")</f>
        <v/>
      </c>
      <c r="J304" s="71" t="n"/>
    </row>
    <row r="305">
      <c r="A305" s="62" t="inlineStr">
        <is>
          <t>C</t>
        </is>
      </c>
      <c r="B305" s="60">
        <f>IF(E305&gt;1/1/2001,B304+1," ")</f>
        <v/>
      </c>
      <c r="C305" s="59">
        <f>IF(B305&lt;&gt;" ",CONCATENATE(A305,B305)," ")</f>
        <v/>
      </c>
      <c r="J305" s="71" t="n"/>
    </row>
    <row r="306">
      <c r="A306" s="62" t="inlineStr">
        <is>
          <t>C</t>
        </is>
      </c>
      <c r="B306" s="60">
        <f>IF(E306&gt;1/1/2001,B305+1," ")</f>
        <v/>
      </c>
      <c r="C306" s="59">
        <f>IF(B306&lt;&gt;" ",CONCATENATE(A306,B306)," ")</f>
        <v/>
      </c>
      <c r="J306" s="71" t="n"/>
    </row>
    <row r="307">
      <c r="A307" s="62" t="inlineStr">
        <is>
          <t>C</t>
        </is>
      </c>
      <c r="B307" s="60">
        <f>IF(E307&gt;1/1/2001,B306+1," ")</f>
        <v/>
      </c>
      <c r="C307" s="59">
        <f>IF(B307&lt;&gt;" ",CONCATENATE(A307,B307)," ")</f>
        <v/>
      </c>
      <c r="J307" s="71" t="n"/>
    </row>
    <row r="308">
      <c r="A308" s="62" t="inlineStr">
        <is>
          <t>C</t>
        </is>
      </c>
      <c r="B308" s="60">
        <f>IF(E308&gt;1/1/2001,B307+1," ")</f>
        <v/>
      </c>
      <c r="C308" s="59">
        <f>IF(B308&lt;&gt;" ",CONCATENATE(A308,B308)," ")</f>
        <v/>
      </c>
      <c r="J308" s="71" t="n"/>
    </row>
    <row r="309">
      <c r="A309" s="62" t="inlineStr">
        <is>
          <t>C</t>
        </is>
      </c>
      <c r="B309" s="60">
        <f>IF(E309&gt;1/1/2001,B308+1," ")</f>
        <v/>
      </c>
      <c r="C309" s="59">
        <f>IF(B309&lt;&gt;" ",CONCATENATE(A309,B309)," ")</f>
        <v/>
      </c>
      <c r="J309" s="71" t="n"/>
    </row>
    <row r="310">
      <c r="A310" s="62" t="inlineStr">
        <is>
          <t>C</t>
        </is>
      </c>
      <c r="B310" s="60">
        <f>IF(E310&gt;1/1/2001,B309+1," ")</f>
        <v/>
      </c>
      <c r="C310" s="59">
        <f>IF(B310&lt;&gt;" ",CONCATENATE(A310,B310)," ")</f>
        <v/>
      </c>
      <c r="J310" s="71" t="n"/>
    </row>
    <row r="311">
      <c r="A311" s="62" t="inlineStr">
        <is>
          <t>C</t>
        </is>
      </c>
      <c r="B311" s="60">
        <f>IF(E311&gt;1/1/2001,B310+1," ")</f>
        <v/>
      </c>
      <c r="C311" s="59">
        <f>IF(B311&lt;&gt;" ",CONCATENATE(A311,B311)," ")</f>
        <v/>
      </c>
      <c r="J311" s="71" t="n"/>
    </row>
    <row r="312">
      <c r="A312" s="62" t="inlineStr">
        <is>
          <t>C</t>
        </is>
      </c>
      <c r="B312" s="60">
        <f>IF(E312&gt;1/1/2001,B311+1," ")</f>
        <v/>
      </c>
      <c r="C312" s="59">
        <f>IF(B312&lt;&gt;" ",CONCATENATE(A312,B312)," ")</f>
        <v/>
      </c>
      <c r="J312" s="71" t="n"/>
    </row>
    <row r="313">
      <c r="A313" s="62" t="inlineStr">
        <is>
          <t>C</t>
        </is>
      </c>
      <c r="B313" s="60">
        <f>IF(E313&gt;1/1/2001,B312+1," ")</f>
        <v/>
      </c>
      <c r="C313" s="59">
        <f>IF(B313&lt;&gt;" ",CONCATENATE(A313,B313)," ")</f>
        <v/>
      </c>
      <c r="J313" s="71" t="n"/>
    </row>
    <row r="314">
      <c r="A314" s="62" t="inlineStr">
        <is>
          <t>C</t>
        </is>
      </c>
      <c r="B314" s="60">
        <f>IF(E314&gt;1/1/2001,B313+1," ")</f>
        <v/>
      </c>
      <c r="C314" s="59">
        <f>IF(B314&lt;&gt;" ",CONCATENATE(A314,B314)," ")</f>
        <v/>
      </c>
      <c r="J314" s="71" t="n"/>
    </row>
    <row r="315">
      <c r="A315" s="62" t="inlineStr">
        <is>
          <t>C</t>
        </is>
      </c>
      <c r="B315" s="60">
        <f>IF(E315&gt;1/1/2001,B314+1," ")</f>
        <v/>
      </c>
      <c r="C315" s="59">
        <f>IF(B315&lt;&gt;" ",CONCATENATE(A315,B315)," ")</f>
        <v/>
      </c>
      <c r="J315" s="71" t="n"/>
    </row>
    <row r="316">
      <c r="A316" s="62" t="inlineStr">
        <is>
          <t>C</t>
        </is>
      </c>
      <c r="B316" s="60">
        <f>IF(E316&gt;1/1/2001,B315+1," ")</f>
        <v/>
      </c>
      <c r="C316" s="59">
        <f>IF(B316&lt;&gt;" ",CONCATENATE(A316,B316)," ")</f>
        <v/>
      </c>
      <c r="J316" s="71" t="n"/>
    </row>
    <row r="317">
      <c r="A317" s="62" t="inlineStr">
        <is>
          <t>C</t>
        </is>
      </c>
      <c r="B317" s="60">
        <f>IF(E317&gt;1/1/2001,B316+1," ")</f>
        <v/>
      </c>
      <c r="C317" s="59">
        <f>IF(B317&lt;&gt;" ",CONCATENATE(A317,B317)," ")</f>
        <v/>
      </c>
      <c r="J317" s="71" t="n"/>
    </row>
    <row r="318">
      <c r="A318" s="62" t="inlineStr">
        <is>
          <t>C</t>
        </is>
      </c>
      <c r="B318" s="60">
        <f>IF(E318&gt;1/1/2001,B317+1," ")</f>
        <v/>
      </c>
      <c r="C318" s="59">
        <f>IF(B318&lt;&gt;" ",CONCATENATE(A318,B318)," ")</f>
        <v/>
      </c>
      <c r="J318" s="71" t="n"/>
    </row>
    <row r="319">
      <c r="A319" s="62" t="inlineStr">
        <is>
          <t>C</t>
        </is>
      </c>
      <c r="B319" s="60">
        <f>IF(E319&gt;1/1/2001,B318+1," ")</f>
        <v/>
      </c>
      <c r="C319" s="59">
        <f>IF(B319&lt;&gt;" ",CONCATENATE(A319,B319)," ")</f>
        <v/>
      </c>
      <c r="J319" s="71" t="n"/>
    </row>
    <row r="320">
      <c r="A320" s="62" t="inlineStr">
        <is>
          <t>C</t>
        </is>
      </c>
      <c r="B320" s="60">
        <f>IF(E320&gt;1/1/2001,B319+1," ")</f>
        <v/>
      </c>
      <c r="C320" s="59">
        <f>IF(B320&lt;&gt;" ",CONCATENATE(A320,B320)," ")</f>
        <v/>
      </c>
      <c r="J320" s="71" t="n"/>
    </row>
    <row r="321">
      <c r="A321" s="62" t="inlineStr">
        <is>
          <t>C</t>
        </is>
      </c>
      <c r="B321" s="60">
        <f>IF(E321&gt;1/1/2001,B320+1," ")</f>
        <v/>
      </c>
      <c r="C321" s="59">
        <f>IF(B321&lt;&gt;" ",CONCATENATE(A321,B321)," ")</f>
        <v/>
      </c>
      <c r="J321" s="71" t="n"/>
    </row>
    <row r="322">
      <c r="A322" s="62" t="inlineStr">
        <is>
          <t>C</t>
        </is>
      </c>
      <c r="B322" s="60">
        <f>IF(E322&gt;1/1/2001,B321+1," ")</f>
        <v/>
      </c>
      <c r="C322" s="59">
        <f>IF(B322&lt;&gt;" ",CONCATENATE(A322,B322)," ")</f>
        <v/>
      </c>
      <c r="J322" s="71" t="n"/>
    </row>
    <row r="323">
      <c r="A323" s="62" t="inlineStr">
        <is>
          <t>C</t>
        </is>
      </c>
      <c r="B323" s="60">
        <f>IF(E323&gt;1/1/2001,B322+1," ")</f>
        <v/>
      </c>
      <c r="C323" s="59">
        <f>IF(B323&lt;&gt;" ",CONCATENATE(A323,B323)," ")</f>
        <v/>
      </c>
      <c r="J323" s="71" t="n"/>
    </row>
    <row r="324">
      <c r="A324" s="62" t="inlineStr">
        <is>
          <t>C</t>
        </is>
      </c>
      <c r="B324" s="60">
        <f>IF(E324&gt;1/1/2001,B323+1," ")</f>
        <v/>
      </c>
      <c r="C324" s="59">
        <f>IF(B324&lt;&gt;" ",CONCATENATE(A324,B324)," ")</f>
        <v/>
      </c>
      <c r="J324" s="71" t="n"/>
    </row>
    <row r="325">
      <c r="A325" s="62" t="inlineStr">
        <is>
          <t>C</t>
        </is>
      </c>
      <c r="B325" s="60">
        <f>IF(E325&gt;1/1/2001,B324+1," ")</f>
        <v/>
      </c>
      <c r="C325" s="59">
        <f>IF(B325&lt;&gt;" ",CONCATENATE(A325,B325)," ")</f>
        <v/>
      </c>
      <c r="J325" s="71" t="n"/>
    </row>
    <row r="326">
      <c r="A326" s="62" t="inlineStr">
        <is>
          <t>C</t>
        </is>
      </c>
      <c r="B326" s="60">
        <f>IF(E326&gt;1/1/2001,B325+1," ")</f>
        <v/>
      </c>
      <c r="C326" s="59">
        <f>IF(B326&lt;&gt;" ",CONCATENATE(A326,B326)," ")</f>
        <v/>
      </c>
      <c r="J326" s="71" t="n"/>
    </row>
    <row r="327">
      <c r="A327" s="62" t="inlineStr">
        <is>
          <t>C</t>
        </is>
      </c>
      <c r="B327" s="60">
        <f>IF(E327&gt;1/1/2001,B326+1," ")</f>
        <v/>
      </c>
      <c r="C327" s="59">
        <f>IF(B327&lt;&gt;" ",CONCATENATE(A327,B327)," ")</f>
        <v/>
      </c>
      <c r="J327" s="71" t="n"/>
    </row>
    <row r="328">
      <c r="A328" s="62" t="inlineStr">
        <is>
          <t>C</t>
        </is>
      </c>
      <c r="B328" s="60">
        <f>IF(E328&gt;1/1/2001,B327+1," ")</f>
        <v/>
      </c>
      <c r="C328" s="59">
        <f>IF(B328&lt;&gt;" ",CONCATENATE(A328,B328)," ")</f>
        <v/>
      </c>
      <c r="J328" s="71" t="n"/>
    </row>
    <row r="329">
      <c r="A329" s="62" t="inlineStr">
        <is>
          <t>C</t>
        </is>
      </c>
      <c r="B329" s="60">
        <f>IF(E329&gt;1/1/2001,B328+1," ")</f>
        <v/>
      </c>
      <c r="C329" s="59">
        <f>IF(B329&lt;&gt;" ",CONCATENATE(A329,B329)," ")</f>
        <v/>
      </c>
      <c r="J329" s="71" t="n"/>
    </row>
    <row r="330">
      <c r="A330" s="62" t="inlineStr">
        <is>
          <t>C</t>
        </is>
      </c>
      <c r="B330" s="60">
        <f>IF(E330&gt;1/1/2001,B329+1," ")</f>
        <v/>
      </c>
      <c r="C330" s="59">
        <f>IF(B330&lt;&gt;" ",CONCATENATE(A330,B330)," ")</f>
        <v/>
      </c>
      <c r="J330" s="71" t="n"/>
    </row>
    <row r="331">
      <c r="A331" s="62" t="inlineStr">
        <is>
          <t>C</t>
        </is>
      </c>
      <c r="B331" s="60">
        <f>IF(E331&gt;1/1/2001,B330+1," ")</f>
        <v/>
      </c>
      <c r="C331" s="59">
        <f>IF(B331&lt;&gt;" ",CONCATENATE(A331,B331)," ")</f>
        <v/>
      </c>
      <c r="J331" s="71" t="n"/>
    </row>
    <row r="332">
      <c r="A332" s="62" t="inlineStr">
        <is>
          <t>C</t>
        </is>
      </c>
      <c r="B332" s="60">
        <f>IF(E332&gt;1/1/2001,B331+1," ")</f>
        <v/>
      </c>
      <c r="C332" s="59">
        <f>IF(B332&lt;&gt;" ",CONCATENATE(A332,B332)," ")</f>
        <v/>
      </c>
      <c r="J332" s="71" t="n"/>
    </row>
    <row r="333">
      <c r="A333" s="62" t="inlineStr">
        <is>
          <t>C</t>
        </is>
      </c>
      <c r="B333" s="60">
        <f>IF(E333&gt;1/1/2001,B332+1," ")</f>
        <v/>
      </c>
      <c r="C333" s="59">
        <f>IF(B333&lt;&gt;" ",CONCATENATE(A333,B333)," ")</f>
        <v/>
      </c>
      <c r="J333" s="71" t="n"/>
    </row>
    <row r="334">
      <c r="A334" s="62" t="inlineStr">
        <is>
          <t>C</t>
        </is>
      </c>
      <c r="B334" s="60">
        <f>IF(E334&gt;1/1/2001,B333+1," ")</f>
        <v/>
      </c>
      <c r="C334" s="59">
        <f>IF(B334&lt;&gt;" ",CONCATENATE(A334,B334)," ")</f>
        <v/>
      </c>
      <c r="J334" s="71" t="n"/>
    </row>
    <row r="335">
      <c r="A335" s="62" t="inlineStr">
        <is>
          <t>C</t>
        </is>
      </c>
      <c r="B335" s="60">
        <f>IF(E335&gt;1/1/2001,B334+1," ")</f>
        <v/>
      </c>
      <c r="C335" s="59">
        <f>IF(B335&lt;&gt;" ",CONCATENATE(A335,B335)," ")</f>
        <v/>
      </c>
      <c r="J335" s="71" t="n"/>
    </row>
    <row r="336">
      <c r="A336" s="62" t="inlineStr">
        <is>
          <t>C</t>
        </is>
      </c>
      <c r="B336" s="60">
        <f>IF(E336&gt;1/1/2001,B335+1," ")</f>
        <v/>
      </c>
      <c r="C336" s="59">
        <f>IF(B336&lt;&gt;" ",CONCATENATE(A336,B336)," ")</f>
        <v/>
      </c>
      <c r="J336" s="71" t="n"/>
    </row>
    <row r="337">
      <c r="A337" s="62" t="inlineStr">
        <is>
          <t>C</t>
        </is>
      </c>
      <c r="B337" s="60">
        <f>IF(E337&gt;1/1/2001,B336+1," ")</f>
        <v/>
      </c>
      <c r="C337" s="59">
        <f>IF(B337&lt;&gt;" ",CONCATENATE(A337,B337)," ")</f>
        <v/>
      </c>
      <c r="J337" s="71" t="n"/>
    </row>
    <row r="338">
      <c r="A338" s="62" t="inlineStr">
        <is>
          <t>C</t>
        </is>
      </c>
      <c r="B338" s="60">
        <f>IF(E338&gt;1/1/2001,B337+1," ")</f>
        <v/>
      </c>
      <c r="C338" s="59">
        <f>IF(B338&lt;&gt;" ",CONCATENATE(A338,B338)," ")</f>
        <v/>
      </c>
      <c r="J338" s="71" t="n"/>
    </row>
    <row r="339">
      <c r="A339" s="62" t="inlineStr">
        <is>
          <t>C</t>
        </is>
      </c>
      <c r="B339" s="60">
        <f>IF(E339&gt;1/1/2001,B338+1," ")</f>
        <v/>
      </c>
      <c r="C339" s="59">
        <f>IF(B339&lt;&gt;" ",CONCATENATE(A339,B339)," ")</f>
        <v/>
      </c>
      <c r="J339" s="71" t="n"/>
    </row>
    <row r="340">
      <c r="A340" s="62" t="inlineStr">
        <is>
          <t>C</t>
        </is>
      </c>
      <c r="B340" s="60">
        <f>IF(E340&gt;1/1/2001,B339+1," ")</f>
        <v/>
      </c>
      <c r="C340" s="59">
        <f>IF(B340&lt;&gt;" ",CONCATENATE(A340,B340)," ")</f>
        <v/>
      </c>
      <c r="J340" s="71" t="n"/>
    </row>
    <row r="341">
      <c r="A341" s="62" t="inlineStr">
        <is>
          <t>C</t>
        </is>
      </c>
      <c r="B341" s="60">
        <f>IF(E341&gt;1/1/2001,B340+1," ")</f>
        <v/>
      </c>
      <c r="C341" s="59">
        <f>IF(B341&lt;&gt;" ",CONCATENATE(A341,B341)," ")</f>
        <v/>
      </c>
      <c r="J341" s="71" t="n"/>
    </row>
    <row r="342">
      <c r="A342" s="62" t="inlineStr">
        <is>
          <t>C</t>
        </is>
      </c>
      <c r="B342" s="60">
        <f>IF(E342&gt;1/1/2001,B341+1," ")</f>
        <v/>
      </c>
      <c r="C342" s="59">
        <f>IF(B342&lt;&gt;" ",CONCATENATE(A342,B342)," ")</f>
        <v/>
      </c>
      <c r="J342" s="71" t="n"/>
    </row>
    <row r="343">
      <c r="A343" s="62" t="inlineStr">
        <is>
          <t>C</t>
        </is>
      </c>
      <c r="B343" s="60">
        <f>IF(E343&gt;1/1/2001,B342+1," ")</f>
        <v/>
      </c>
      <c r="C343" s="59">
        <f>IF(B343&lt;&gt;" ",CONCATENATE(A343,B343)," ")</f>
        <v/>
      </c>
      <c r="J343" s="71" t="n"/>
    </row>
    <row r="344">
      <c r="A344" s="62" t="inlineStr">
        <is>
          <t>C</t>
        </is>
      </c>
      <c r="B344" s="60">
        <f>IF(E344&gt;1/1/2001,B343+1," ")</f>
        <v/>
      </c>
      <c r="C344" s="59">
        <f>IF(B344&lt;&gt;" ",CONCATENATE(A344,B344)," ")</f>
        <v/>
      </c>
      <c r="J344" s="71" t="n"/>
    </row>
    <row r="345">
      <c r="A345" s="62" t="inlineStr">
        <is>
          <t>C</t>
        </is>
      </c>
      <c r="B345" s="60">
        <f>IF(E345&gt;1/1/2001,B344+1," ")</f>
        <v/>
      </c>
      <c r="C345" s="59">
        <f>IF(B345&lt;&gt;" ",CONCATENATE(A345,B345)," ")</f>
        <v/>
      </c>
      <c r="J345" s="71" t="n"/>
    </row>
    <row r="346">
      <c r="A346" s="62" t="inlineStr">
        <is>
          <t>C</t>
        </is>
      </c>
      <c r="B346" s="60">
        <f>IF(E346&gt;1/1/2001,B345+1," ")</f>
        <v/>
      </c>
      <c r="C346" s="59">
        <f>IF(B346&lt;&gt;" ",CONCATENATE(A346,B346)," ")</f>
        <v/>
      </c>
      <c r="J346" s="71" t="n"/>
    </row>
    <row r="347">
      <c r="A347" s="62" t="inlineStr">
        <is>
          <t>C</t>
        </is>
      </c>
      <c r="B347" s="60">
        <f>IF(E347&gt;1/1/2001,B346+1," ")</f>
        <v/>
      </c>
      <c r="C347" s="59">
        <f>IF(B347&lt;&gt;" ",CONCATENATE(A347,B347)," ")</f>
        <v/>
      </c>
      <c r="J347" s="71" t="n"/>
    </row>
    <row r="348">
      <c r="A348" s="62" t="inlineStr">
        <is>
          <t>C</t>
        </is>
      </c>
      <c r="B348" s="60">
        <f>IF(E348&gt;1/1/2001,B347+1," ")</f>
        <v/>
      </c>
      <c r="C348" s="59">
        <f>IF(B348&lt;&gt;" ",CONCATENATE(A348,B348)," ")</f>
        <v/>
      </c>
      <c r="J348" s="71" t="n"/>
    </row>
    <row r="349">
      <c r="A349" s="62" t="inlineStr">
        <is>
          <t>C</t>
        </is>
      </c>
      <c r="B349" s="60">
        <f>IF(E349&gt;1/1/2001,B348+1," ")</f>
        <v/>
      </c>
      <c r="C349" s="59">
        <f>IF(B349&lt;&gt;" ",CONCATENATE(A349,B349)," ")</f>
        <v/>
      </c>
      <c r="J349" s="71" t="n"/>
    </row>
    <row r="350">
      <c r="A350" s="62" t="inlineStr">
        <is>
          <t>C</t>
        </is>
      </c>
      <c r="B350" s="60">
        <f>IF(E350&gt;1/1/2001,B349+1," ")</f>
        <v/>
      </c>
      <c r="C350" s="59">
        <f>IF(B350&lt;&gt;" ",CONCATENATE(A350,B350)," ")</f>
        <v/>
      </c>
      <c r="J350" s="71" t="n"/>
    </row>
    <row r="351">
      <c r="A351" s="62" t="inlineStr">
        <is>
          <t>C</t>
        </is>
      </c>
      <c r="B351" s="60">
        <f>IF(E351&gt;1/1/2001,B350+1," ")</f>
        <v/>
      </c>
      <c r="C351" s="59">
        <f>IF(B351&lt;&gt;" ",CONCATENATE(A351,B351)," ")</f>
        <v/>
      </c>
      <c r="J351" s="71" t="n"/>
    </row>
    <row r="352">
      <c r="A352" s="62" t="inlineStr">
        <is>
          <t>C</t>
        </is>
      </c>
      <c r="B352" s="60">
        <f>IF(E352&gt;1/1/2001,B351+1," ")</f>
        <v/>
      </c>
      <c r="C352" s="59">
        <f>IF(B352&lt;&gt;" ",CONCATENATE(A352,B352)," ")</f>
        <v/>
      </c>
      <c r="J352" s="71" t="n"/>
    </row>
    <row r="353">
      <c r="A353" s="62" t="inlineStr">
        <is>
          <t>C</t>
        </is>
      </c>
      <c r="B353" s="60">
        <f>IF(E353&gt;1/1/2001,B352+1," ")</f>
        <v/>
      </c>
      <c r="C353" s="59">
        <f>IF(B353&lt;&gt;" ",CONCATENATE(A353,B353)," ")</f>
        <v/>
      </c>
      <c r="J353" s="71" t="n"/>
    </row>
    <row r="354">
      <c r="A354" s="62" t="inlineStr">
        <is>
          <t>C</t>
        </is>
      </c>
      <c r="B354" s="60">
        <f>IF(E354&gt;1/1/2001,B353+1," ")</f>
        <v/>
      </c>
      <c r="C354" s="59">
        <f>IF(B354&lt;&gt;" ",CONCATENATE(A354,B354)," ")</f>
        <v/>
      </c>
      <c r="J354" s="71" t="n"/>
    </row>
    <row r="355">
      <c r="A355" s="62" t="inlineStr">
        <is>
          <t>C</t>
        </is>
      </c>
      <c r="B355" s="60">
        <f>IF(E355&gt;1/1/2001,B354+1," ")</f>
        <v/>
      </c>
      <c r="C355" s="59">
        <f>IF(B355&lt;&gt;" ",CONCATENATE(A355,B355)," ")</f>
        <v/>
      </c>
      <c r="J355" s="71" t="n"/>
    </row>
    <row r="356">
      <c r="A356" s="62" t="inlineStr">
        <is>
          <t>C</t>
        </is>
      </c>
      <c r="B356" s="60">
        <f>IF(E356&gt;1/1/2001,B355+1," ")</f>
        <v/>
      </c>
      <c r="C356" s="59">
        <f>IF(B356&lt;&gt;" ",CONCATENATE(A356,B356)," ")</f>
        <v/>
      </c>
      <c r="J356" s="71" t="n"/>
    </row>
    <row r="357">
      <c r="A357" s="62" t="inlineStr">
        <is>
          <t>C</t>
        </is>
      </c>
      <c r="B357" s="60">
        <f>IF(E357&gt;1/1/2001,B356+1," ")</f>
        <v/>
      </c>
      <c r="C357" s="59">
        <f>IF(B357&lt;&gt;" ",CONCATENATE(A357,B357)," ")</f>
        <v/>
      </c>
      <c r="J357" s="71" t="n"/>
    </row>
    <row r="358">
      <c r="A358" s="62" t="inlineStr">
        <is>
          <t>C</t>
        </is>
      </c>
      <c r="B358" s="60">
        <f>IF(E358&gt;1/1/2001,B357+1," ")</f>
        <v/>
      </c>
      <c r="C358" s="59">
        <f>IF(B358&lt;&gt;" ",CONCATENATE(A358,B358)," ")</f>
        <v/>
      </c>
      <c r="J358" s="71" t="n"/>
    </row>
    <row r="359">
      <c r="A359" s="62" t="inlineStr">
        <is>
          <t>C</t>
        </is>
      </c>
      <c r="B359" s="60">
        <f>IF(E359&gt;1/1/2001,B358+1," ")</f>
        <v/>
      </c>
      <c r="C359" s="59">
        <f>IF(B359&lt;&gt;" ",CONCATENATE(A359,B359)," ")</f>
        <v/>
      </c>
      <c r="J359" s="71" t="n"/>
    </row>
    <row r="360">
      <c r="A360" s="62" t="inlineStr">
        <is>
          <t>C</t>
        </is>
      </c>
      <c r="B360" s="60">
        <f>IF(E360&gt;1/1/2001,B359+1," ")</f>
        <v/>
      </c>
      <c r="C360" s="59">
        <f>IF(B360&lt;&gt;" ",CONCATENATE(A360,B360)," ")</f>
        <v/>
      </c>
      <c r="J360" s="71" t="n"/>
    </row>
    <row r="361">
      <c r="A361" s="62" t="inlineStr">
        <is>
          <t>C</t>
        </is>
      </c>
      <c r="B361" s="60">
        <f>IF(E361&gt;1/1/2001,B360+1," ")</f>
        <v/>
      </c>
      <c r="C361" s="59">
        <f>IF(B361&lt;&gt;" ",CONCATENATE(A361,B361)," ")</f>
        <v/>
      </c>
      <c r="J361" s="71" t="n"/>
    </row>
    <row r="362">
      <c r="A362" s="62" t="inlineStr">
        <is>
          <t>C</t>
        </is>
      </c>
      <c r="B362" s="60">
        <f>IF(E362&gt;1/1/2001,B361+1," ")</f>
        <v/>
      </c>
      <c r="C362" s="59">
        <f>IF(B362&lt;&gt;" ",CONCATENATE(A362,B362)," ")</f>
        <v/>
      </c>
      <c r="J362" s="71" t="n"/>
    </row>
    <row r="363">
      <c r="A363" s="62" t="inlineStr">
        <is>
          <t>C</t>
        </is>
      </c>
      <c r="B363" s="60">
        <f>IF(E363&gt;1/1/2001,B362+1," ")</f>
        <v/>
      </c>
      <c r="C363" s="59">
        <f>IF(B363&lt;&gt;" ",CONCATENATE(A363,B363)," ")</f>
        <v/>
      </c>
      <c r="J363" s="71" t="n"/>
    </row>
    <row r="364">
      <c r="A364" s="62" t="inlineStr">
        <is>
          <t>C</t>
        </is>
      </c>
      <c r="B364" s="60">
        <f>IF(E364&gt;1/1/2001,B363+1," ")</f>
        <v/>
      </c>
      <c r="C364" s="59">
        <f>IF(B364&lt;&gt;" ",CONCATENATE(A364,B364)," ")</f>
        <v/>
      </c>
      <c r="J364" s="71" t="n"/>
    </row>
    <row r="365">
      <c r="A365" s="62" t="inlineStr">
        <is>
          <t>C</t>
        </is>
      </c>
      <c r="B365" s="60">
        <f>IF(E365&gt;1/1/2001,B364+1," ")</f>
        <v/>
      </c>
      <c r="C365" s="59">
        <f>IF(B365&lt;&gt;" ",CONCATENATE(A365,B365)," ")</f>
        <v/>
      </c>
      <c r="J365" s="71" t="n"/>
    </row>
    <row r="366">
      <c r="A366" s="62" t="inlineStr">
        <is>
          <t>C</t>
        </is>
      </c>
      <c r="B366" s="60">
        <f>IF(E366&gt;1/1/2001,B365+1," ")</f>
        <v/>
      </c>
      <c r="C366" s="59">
        <f>IF(B366&lt;&gt;" ",CONCATENATE(A366,B366)," ")</f>
        <v/>
      </c>
      <c r="J366" s="71" t="n"/>
    </row>
    <row r="367">
      <c r="A367" s="62" t="inlineStr">
        <is>
          <t>C</t>
        </is>
      </c>
      <c r="B367" s="60">
        <f>IF(E367&gt;1/1/2001,B366+1," ")</f>
        <v/>
      </c>
      <c r="C367" s="59">
        <f>IF(B367&lt;&gt;" ",CONCATENATE(A367,B367)," ")</f>
        <v/>
      </c>
      <c r="J367" s="71" t="n"/>
    </row>
    <row r="368">
      <c r="A368" s="62" t="inlineStr">
        <is>
          <t>C</t>
        </is>
      </c>
      <c r="B368" s="60">
        <f>IF(E368&gt;1/1/2001,B367+1," ")</f>
        <v/>
      </c>
      <c r="C368" s="59">
        <f>IF(B368&lt;&gt;" ",CONCATENATE(A368,B368)," ")</f>
        <v/>
      </c>
      <c r="J368" s="71" t="n"/>
    </row>
    <row r="369">
      <c r="A369" s="62" t="inlineStr">
        <is>
          <t>C</t>
        </is>
      </c>
      <c r="B369" s="60">
        <f>IF(E369&gt;1/1/2001,B368+1," ")</f>
        <v/>
      </c>
      <c r="C369" s="59">
        <f>IF(B369&lt;&gt;" ",CONCATENATE(A369,B369)," ")</f>
        <v/>
      </c>
      <c r="J369" s="71" t="n"/>
    </row>
    <row r="370">
      <c r="A370" s="62" t="inlineStr">
        <is>
          <t>C</t>
        </is>
      </c>
      <c r="B370" s="60">
        <f>IF(E370&gt;1/1/2001,B369+1," ")</f>
        <v/>
      </c>
      <c r="C370" s="59">
        <f>IF(B370&lt;&gt;" ",CONCATENATE(A370,B370)," ")</f>
        <v/>
      </c>
      <c r="J370" s="71" t="n"/>
    </row>
    <row r="371">
      <c r="A371" s="62" t="inlineStr">
        <is>
          <t>C</t>
        </is>
      </c>
      <c r="B371" s="60">
        <f>IF(E371&gt;1/1/2001,B370+1," ")</f>
        <v/>
      </c>
      <c r="C371" s="59">
        <f>IF(B371&lt;&gt;" ",CONCATENATE(A371,B371)," ")</f>
        <v/>
      </c>
      <c r="J371" s="71" t="n"/>
    </row>
    <row r="372">
      <c r="A372" s="62" t="inlineStr">
        <is>
          <t>C</t>
        </is>
      </c>
      <c r="B372" s="60">
        <f>IF(E372&gt;1/1/2001,B371+1," ")</f>
        <v/>
      </c>
      <c r="C372" s="59">
        <f>IF(B372&lt;&gt;" ",CONCATENATE(A372,B372)," ")</f>
        <v/>
      </c>
      <c r="J372" s="71" t="n"/>
    </row>
    <row r="373">
      <c r="A373" s="62" t="inlineStr">
        <is>
          <t>C</t>
        </is>
      </c>
      <c r="B373" s="60">
        <f>IF(E373&gt;1/1/2001,B372+1," ")</f>
        <v/>
      </c>
      <c r="C373" s="59">
        <f>IF(B373&lt;&gt;" ",CONCATENATE(A373,B373)," ")</f>
        <v/>
      </c>
      <c r="J373" s="71" t="n"/>
    </row>
    <row r="374">
      <c r="A374" s="62" t="inlineStr">
        <is>
          <t>C</t>
        </is>
      </c>
      <c r="B374" s="60">
        <f>IF(E374&gt;1/1/2001,B373+1," ")</f>
        <v/>
      </c>
      <c r="C374" s="59">
        <f>IF(B374&lt;&gt;" ",CONCATENATE(A374,B374)," ")</f>
        <v/>
      </c>
      <c r="J374" s="71" t="n"/>
    </row>
    <row r="375">
      <c r="A375" s="62" t="inlineStr">
        <is>
          <t>C</t>
        </is>
      </c>
      <c r="B375" s="60">
        <f>IF(E375&gt;1/1/2001,B374+1," ")</f>
        <v/>
      </c>
      <c r="C375" s="59">
        <f>IF(B375&lt;&gt;" ",CONCATENATE(A375,B375)," ")</f>
        <v/>
      </c>
      <c r="J375" s="71" t="n"/>
    </row>
    <row r="376">
      <c r="A376" s="62" t="inlineStr">
        <is>
          <t>C</t>
        </is>
      </c>
      <c r="B376" s="60">
        <f>IF(E376&gt;1/1/2001,B375+1," ")</f>
        <v/>
      </c>
      <c r="C376" s="59">
        <f>IF(B376&lt;&gt;" ",CONCATENATE(A376,B376)," ")</f>
        <v/>
      </c>
      <c r="J376" s="71" t="n"/>
    </row>
    <row r="377">
      <c r="A377" s="62" t="inlineStr">
        <is>
          <t>C</t>
        </is>
      </c>
      <c r="B377" s="60">
        <f>IF(E377&gt;1/1/2001,B376+1," ")</f>
        <v/>
      </c>
      <c r="C377" s="59">
        <f>IF(B377&lt;&gt;" ",CONCATENATE(A377,B377)," ")</f>
        <v/>
      </c>
      <c r="J377" s="71" t="n"/>
    </row>
    <row r="378">
      <c r="A378" s="62" t="inlineStr">
        <is>
          <t>C</t>
        </is>
      </c>
      <c r="B378" s="60">
        <f>IF(E378&gt;1/1/2001,B377+1," ")</f>
        <v/>
      </c>
      <c r="C378" s="59">
        <f>IF(B378&lt;&gt;" ",CONCATENATE(A378,B378)," ")</f>
        <v/>
      </c>
      <c r="J378" s="71" t="n"/>
    </row>
    <row r="379">
      <c r="A379" s="62" t="inlineStr">
        <is>
          <t>C</t>
        </is>
      </c>
      <c r="B379" s="60">
        <f>IF(E379&gt;1/1/2001,B378+1," ")</f>
        <v/>
      </c>
      <c r="C379" s="59">
        <f>IF(B379&lt;&gt;" ",CONCATENATE(A379,B379)," ")</f>
        <v/>
      </c>
      <c r="J379" s="71" t="n"/>
    </row>
    <row r="380">
      <c r="A380" s="62" t="inlineStr">
        <is>
          <t>C</t>
        </is>
      </c>
      <c r="B380" s="60">
        <f>IF(E380&gt;1/1/2001,B379+1," ")</f>
        <v/>
      </c>
      <c r="C380" s="59">
        <f>IF(B380&lt;&gt;" ",CONCATENATE(A380,B380)," ")</f>
        <v/>
      </c>
      <c r="J380" s="71" t="n"/>
    </row>
    <row r="381">
      <c r="A381" s="62" t="inlineStr">
        <is>
          <t>C</t>
        </is>
      </c>
      <c r="B381" s="60">
        <f>IF(E381&gt;1/1/2001,B380+1," ")</f>
        <v/>
      </c>
      <c r="C381" s="59">
        <f>IF(B381&lt;&gt;" ",CONCATENATE(A381,B381)," ")</f>
        <v/>
      </c>
      <c r="J381" s="71" t="n"/>
    </row>
    <row r="382">
      <c r="A382" s="62" t="inlineStr">
        <is>
          <t>C</t>
        </is>
      </c>
      <c r="B382" s="60">
        <f>IF(E382&gt;1/1/2001,B381+1," ")</f>
        <v/>
      </c>
      <c r="C382" s="59">
        <f>IF(B382&lt;&gt;" ",CONCATENATE(A382,B382)," ")</f>
        <v/>
      </c>
      <c r="J382" s="71" t="n"/>
    </row>
    <row r="383">
      <c r="A383" s="62" t="inlineStr">
        <is>
          <t>C</t>
        </is>
      </c>
      <c r="B383" s="60">
        <f>IF(E383&gt;1/1/2001,B382+1," ")</f>
        <v/>
      </c>
      <c r="C383" s="59">
        <f>IF(B383&lt;&gt;" ",CONCATENATE(A383,B383)," ")</f>
        <v/>
      </c>
      <c r="J383" s="71" t="n"/>
    </row>
    <row r="384">
      <c r="A384" s="62" t="inlineStr">
        <is>
          <t>C</t>
        </is>
      </c>
      <c r="B384" s="60">
        <f>IF(E384&gt;1/1/2001,B383+1," ")</f>
        <v/>
      </c>
      <c r="C384" s="59">
        <f>IF(B384&lt;&gt;" ",CONCATENATE(A384,B384)," ")</f>
        <v/>
      </c>
      <c r="J384" s="71" t="n"/>
    </row>
    <row r="385">
      <c r="A385" s="62" t="inlineStr">
        <is>
          <t>C</t>
        </is>
      </c>
      <c r="B385" s="60">
        <f>IF(E385&gt;1/1/2001,B384+1," ")</f>
        <v/>
      </c>
      <c r="C385" s="59">
        <f>IF(B385&lt;&gt;" ",CONCATENATE(A385,B385)," ")</f>
        <v/>
      </c>
      <c r="J385" s="71" t="n"/>
    </row>
    <row r="386">
      <c r="A386" s="62" t="inlineStr">
        <is>
          <t>C</t>
        </is>
      </c>
      <c r="B386" s="60">
        <f>IF(E386&gt;1/1/2001,B385+1," ")</f>
        <v/>
      </c>
      <c r="C386" s="59">
        <f>IF(B386&lt;&gt;" ",CONCATENATE(A386,B386)," ")</f>
        <v/>
      </c>
      <c r="J386" s="71" t="n"/>
    </row>
    <row r="387">
      <c r="A387" s="62" t="inlineStr">
        <is>
          <t>C</t>
        </is>
      </c>
      <c r="B387" s="60">
        <f>IF(E387&gt;1/1/2001,B386+1," ")</f>
        <v/>
      </c>
      <c r="C387" s="59">
        <f>IF(B387&lt;&gt;" ",CONCATENATE(A387,B387)," ")</f>
        <v/>
      </c>
      <c r="J387" s="71" t="n"/>
    </row>
    <row r="388">
      <c r="A388" s="62" t="inlineStr">
        <is>
          <t>C</t>
        </is>
      </c>
      <c r="B388" s="60">
        <f>IF(E388&gt;1/1/2001,B387+1," ")</f>
        <v/>
      </c>
      <c r="C388" s="59">
        <f>IF(B388&lt;&gt;" ",CONCATENATE(A388,B388)," ")</f>
        <v/>
      </c>
      <c r="J388" s="71" t="n"/>
    </row>
    <row r="389">
      <c r="A389" s="62" t="inlineStr">
        <is>
          <t>C</t>
        </is>
      </c>
      <c r="B389" s="60">
        <f>IF(E389&gt;1/1/2001,B388+1," ")</f>
        <v/>
      </c>
      <c r="C389" s="59">
        <f>IF(B389&lt;&gt;" ",CONCATENATE(A389,B389)," ")</f>
        <v/>
      </c>
      <c r="J389" s="71" t="n"/>
    </row>
    <row r="390">
      <c r="A390" s="62" t="inlineStr">
        <is>
          <t>C</t>
        </is>
      </c>
      <c r="B390" s="60">
        <f>IF(E390&gt;1/1/2001,B389+1," ")</f>
        <v/>
      </c>
      <c r="C390" s="59">
        <f>IF(B390&lt;&gt;" ",CONCATENATE(A390,B390)," ")</f>
        <v/>
      </c>
      <c r="J390" s="71" t="n"/>
    </row>
    <row r="391">
      <c r="A391" s="62" t="inlineStr">
        <is>
          <t>C</t>
        </is>
      </c>
      <c r="B391" s="60">
        <f>IF(E391&gt;1/1/2001,B390+1," ")</f>
        <v/>
      </c>
      <c r="C391" s="59">
        <f>IF(B391&lt;&gt;" ",CONCATENATE(A391,B391)," ")</f>
        <v/>
      </c>
      <c r="J391" s="71" t="n"/>
    </row>
    <row r="392">
      <c r="A392" s="62" t="inlineStr">
        <is>
          <t>C</t>
        </is>
      </c>
      <c r="B392" s="60">
        <f>IF(E392&gt;1/1/2001,B391+1," ")</f>
        <v/>
      </c>
      <c r="C392" s="59">
        <f>IF(B392&lt;&gt;" ",CONCATENATE(A392,B392)," ")</f>
        <v/>
      </c>
      <c r="J392" s="71" t="n"/>
    </row>
    <row r="393">
      <c r="A393" s="62" t="inlineStr">
        <is>
          <t>C</t>
        </is>
      </c>
      <c r="B393" s="60">
        <f>IF(E393&gt;1/1/2001,B392+1," ")</f>
        <v/>
      </c>
      <c r="C393" s="59">
        <f>IF(B393&lt;&gt;" ",CONCATENATE(A393,B393)," ")</f>
        <v/>
      </c>
      <c r="J393" s="71" t="n"/>
    </row>
    <row r="394">
      <c r="A394" s="62" t="inlineStr">
        <is>
          <t>C</t>
        </is>
      </c>
      <c r="B394" s="60">
        <f>IF(E394&gt;1/1/2001,B393+1," ")</f>
        <v/>
      </c>
      <c r="C394" s="59">
        <f>IF(B394&lt;&gt;" ",CONCATENATE(A394,B394)," ")</f>
        <v/>
      </c>
      <c r="J394" s="71" t="n"/>
    </row>
    <row r="395">
      <c r="A395" s="62" t="inlineStr">
        <is>
          <t>C</t>
        </is>
      </c>
      <c r="B395" s="60">
        <f>IF(E395&gt;1/1/2001,B394+1," ")</f>
        <v/>
      </c>
      <c r="C395" s="59">
        <f>IF(B395&lt;&gt;" ",CONCATENATE(A395,B395)," ")</f>
        <v/>
      </c>
      <c r="J395" s="71" t="n"/>
    </row>
    <row r="396">
      <c r="A396" s="62" t="inlineStr">
        <is>
          <t>C</t>
        </is>
      </c>
      <c r="B396" s="60">
        <f>IF(E396&gt;1/1/2001,B395+1," ")</f>
        <v/>
      </c>
      <c r="C396" s="59">
        <f>IF(B396&lt;&gt;" ",CONCATENATE(A396,B396)," ")</f>
        <v/>
      </c>
      <c r="J396" s="71" t="n"/>
    </row>
    <row r="397">
      <c r="A397" s="62" t="inlineStr">
        <is>
          <t>C</t>
        </is>
      </c>
      <c r="B397" s="60">
        <f>IF(E397&gt;1/1/2001,B396+1," ")</f>
        <v/>
      </c>
      <c r="C397" s="59">
        <f>IF(B397&lt;&gt;" ",CONCATENATE(A397,B397)," ")</f>
        <v/>
      </c>
      <c r="J397" s="71" t="n"/>
    </row>
    <row r="398">
      <c r="A398" s="62" t="inlineStr">
        <is>
          <t>C</t>
        </is>
      </c>
      <c r="B398" s="60">
        <f>IF(E398&gt;1/1/2001,B397+1," ")</f>
        <v/>
      </c>
      <c r="C398" s="59">
        <f>IF(B398&lt;&gt;" ",CONCATENATE(A398,B398)," ")</f>
        <v/>
      </c>
      <c r="J398" s="71" t="n"/>
    </row>
    <row r="399">
      <c r="A399" s="62" t="inlineStr">
        <is>
          <t>C</t>
        </is>
      </c>
      <c r="B399" s="60">
        <f>IF(E399&gt;1/1/2001,B398+1," ")</f>
        <v/>
      </c>
      <c r="C399" s="59">
        <f>IF(B399&lt;&gt;" ",CONCATENATE(A399,B399)," ")</f>
        <v/>
      </c>
      <c r="J399" s="71" t="n"/>
    </row>
    <row r="400">
      <c r="A400" s="62" t="inlineStr">
        <is>
          <t>C</t>
        </is>
      </c>
      <c r="B400" s="60">
        <f>IF(E400&gt;1/1/2001,B399+1," ")</f>
        <v/>
      </c>
      <c r="C400" s="59">
        <f>IF(B400&lt;&gt;" ",CONCATENATE(A400,B400)," ")</f>
        <v/>
      </c>
      <c r="J400" s="71" t="n"/>
    </row>
    <row r="401">
      <c r="A401" s="62" t="inlineStr">
        <is>
          <t>C</t>
        </is>
      </c>
      <c r="B401" s="60">
        <f>IF(E401&gt;1/1/2001,B400+1," ")</f>
        <v/>
      </c>
      <c r="C401" s="59">
        <f>IF(B401&lt;&gt;" ",CONCATENATE(A401,B401)," ")</f>
        <v/>
      </c>
      <c r="J401" s="71" t="n"/>
    </row>
    <row r="402">
      <c r="A402" s="62" t="inlineStr">
        <is>
          <t>C</t>
        </is>
      </c>
      <c r="B402" s="60">
        <f>IF(E402&gt;1/1/2001,B401+1," ")</f>
        <v/>
      </c>
      <c r="C402" s="59">
        <f>IF(B402&lt;&gt;" ",CONCATENATE(A402,B402)," ")</f>
        <v/>
      </c>
      <c r="J402" s="71" t="n"/>
    </row>
    <row r="403">
      <c r="A403" s="62" t="inlineStr">
        <is>
          <t>C</t>
        </is>
      </c>
      <c r="B403" s="60">
        <f>IF(E403&gt;1/1/2001,B402+1," ")</f>
        <v/>
      </c>
      <c r="C403" s="59">
        <f>IF(B403&lt;&gt;" ",CONCATENATE(A403,B403)," ")</f>
        <v/>
      </c>
      <c r="J403" s="71" t="n"/>
    </row>
    <row r="404">
      <c r="A404" s="62" t="inlineStr">
        <is>
          <t>C</t>
        </is>
      </c>
      <c r="B404" s="60">
        <f>IF(E404&gt;1/1/2001,B403+1," ")</f>
        <v/>
      </c>
      <c r="C404" s="59">
        <f>IF(B404&lt;&gt;" ",CONCATENATE(A404,B404)," ")</f>
        <v/>
      </c>
      <c r="J404" s="71" t="n"/>
    </row>
    <row r="405">
      <c r="A405" s="62" t="inlineStr">
        <is>
          <t>C</t>
        </is>
      </c>
      <c r="B405" s="60">
        <f>IF(E405&gt;1/1/2001,B404+1," ")</f>
        <v/>
      </c>
      <c r="C405" s="59">
        <f>IF(B405&lt;&gt;" ",CONCATENATE(A405,B405)," ")</f>
        <v/>
      </c>
      <c r="J405" s="71" t="n"/>
    </row>
    <row r="406">
      <c r="A406" s="62" t="inlineStr">
        <is>
          <t>C</t>
        </is>
      </c>
      <c r="B406" s="60">
        <f>IF(E406&gt;1/1/2001,B405+1," ")</f>
        <v/>
      </c>
      <c r="C406" s="59">
        <f>IF(B406&lt;&gt;" ",CONCATENATE(A406,B406)," ")</f>
        <v/>
      </c>
      <c r="J406" s="71" t="n"/>
    </row>
    <row r="407">
      <c r="A407" s="62" t="inlineStr">
        <is>
          <t>C</t>
        </is>
      </c>
      <c r="B407" s="60">
        <f>IF(E407&gt;1/1/2001,B406+1," ")</f>
        <v/>
      </c>
      <c r="C407" s="59">
        <f>IF(B407&lt;&gt;" ",CONCATENATE(A407,B407)," ")</f>
        <v/>
      </c>
      <c r="J407" s="71" t="n"/>
    </row>
    <row r="408">
      <c r="A408" s="62" t="inlineStr">
        <is>
          <t>C</t>
        </is>
      </c>
      <c r="B408" s="60">
        <f>IF(E408&gt;1/1/2001,B407+1," ")</f>
        <v/>
      </c>
      <c r="C408" s="59">
        <f>IF(B408&lt;&gt;" ",CONCATENATE(A408,B408)," ")</f>
        <v/>
      </c>
      <c r="J408" s="71" t="n"/>
    </row>
    <row r="409">
      <c r="A409" s="62" t="inlineStr">
        <is>
          <t>C</t>
        </is>
      </c>
      <c r="B409" s="60">
        <f>IF(E409&gt;1/1/2001,B408+1," ")</f>
        <v/>
      </c>
      <c r="C409" s="59">
        <f>IF(B409&lt;&gt;" ",CONCATENATE(A409,B409)," ")</f>
        <v/>
      </c>
      <c r="J409" s="71" t="n"/>
    </row>
    <row r="410">
      <c r="A410" s="62" t="inlineStr">
        <is>
          <t>C</t>
        </is>
      </c>
      <c r="B410" s="60">
        <f>IF(E410&gt;1/1/2001,B409+1," ")</f>
        <v/>
      </c>
      <c r="C410" s="59">
        <f>IF(B410&lt;&gt;" ",CONCATENATE(A410,B410)," ")</f>
        <v/>
      </c>
      <c r="J410" s="71" t="n"/>
    </row>
    <row r="411">
      <c r="A411" s="62" t="inlineStr">
        <is>
          <t>C</t>
        </is>
      </c>
      <c r="B411" s="60">
        <f>IF(E411&gt;1/1/2001,B410+1," ")</f>
        <v/>
      </c>
      <c r="C411" s="59">
        <f>IF(B411&lt;&gt;" ",CONCATENATE(A411,B411)," ")</f>
        <v/>
      </c>
      <c r="J411" s="71" t="n"/>
    </row>
    <row r="412">
      <c r="A412" s="62" t="inlineStr">
        <is>
          <t>C</t>
        </is>
      </c>
      <c r="B412" s="60">
        <f>IF(E412&gt;1/1/2001,B411+1," ")</f>
        <v/>
      </c>
      <c r="C412" s="59">
        <f>IF(B412&lt;&gt;" ",CONCATENATE(A412,B412)," ")</f>
        <v/>
      </c>
      <c r="J412" s="71" t="n"/>
    </row>
    <row r="413">
      <c r="A413" s="62" t="inlineStr">
        <is>
          <t>C</t>
        </is>
      </c>
      <c r="B413" s="60">
        <f>IF(E413&gt;1/1/2001,B412+1," ")</f>
        <v/>
      </c>
      <c r="C413" s="59">
        <f>IF(B413&lt;&gt;" ",CONCATENATE(A413,B413)," ")</f>
        <v/>
      </c>
      <c r="J413" s="71" t="n"/>
    </row>
    <row r="414">
      <c r="A414" s="62" t="inlineStr">
        <is>
          <t>C</t>
        </is>
      </c>
      <c r="B414" s="60">
        <f>IF(E414&gt;1/1/2001,B413+1," ")</f>
        <v/>
      </c>
      <c r="C414" s="59">
        <f>IF(B414&lt;&gt;" ",CONCATENATE(A414,B414)," ")</f>
        <v/>
      </c>
      <c r="J414" s="71" t="n"/>
    </row>
    <row r="415">
      <c r="A415" s="62" t="inlineStr">
        <is>
          <t>C</t>
        </is>
      </c>
      <c r="B415" s="60">
        <f>IF(E415&gt;1/1/2001,B414+1," ")</f>
        <v/>
      </c>
      <c r="C415" s="59">
        <f>IF(B415&lt;&gt;" ",CONCATENATE(A415,B415)," ")</f>
        <v/>
      </c>
      <c r="J415" s="71" t="n"/>
    </row>
    <row r="416">
      <c r="A416" s="62" t="inlineStr">
        <is>
          <t>C</t>
        </is>
      </c>
      <c r="B416" s="60">
        <f>IF(E416&gt;1/1/2001,B415+1," ")</f>
        <v/>
      </c>
      <c r="C416" s="59">
        <f>IF(B416&lt;&gt;" ",CONCATENATE(A416,B416)," ")</f>
        <v/>
      </c>
      <c r="J416" s="71" t="n"/>
    </row>
    <row r="417">
      <c r="A417" s="62" t="inlineStr">
        <is>
          <t>C</t>
        </is>
      </c>
      <c r="B417" s="60">
        <f>IF(E417&gt;1/1/2001,B416+1," ")</f>
        <v/>
      </c>
      <c r="C417" s="59">
        <f>IF(B417&lt;&gt;" ",CONCATENATE(A417,B417)," ")</f>
        <v/>
      </c>
      <c r="J417" s="71" t="n"/>
    </row>
    <row r="418">
      <c r="A418" s="62" t="inlineStr">
        <is>
          <t>C</t>
        </is>
      </c>
      <c r="B418" s="60">
        <f>IF(E418&gt;1/1/2001,B417+1," ")</f>
        <v/>
      </c>
      <c r="C418" s="59">
        <f>IF(B418&lt;&gt;" ",CONCATENATE(A418,B418)," ")</f>
        <v/>
      </c>
      <c r="J418" s="71" t="n"/>
    </row>
    <row r="419">
      <c r="A419" s="62" t="inlineStr">
        <is>
          <t>C</t>
        </is>
      </c>
      <c r="B419" s="60">
        <f>IF(E419&gt;1/1/2001,B418+1," ")</f>
        <v/>
      </c>
      <c r="C419" s="59">
        <f>IF(B419&lt;&gt;" ",CONCATENATE(A419,B419)," ")</f>
        <v/>
      </c>
      <c r="J419" s="71" t="n"/>
    </row>
    <row r="420">
      <c r="A420" s="62" t="inlineStr">
        <is>
          <t>C</t>
        </is>
      </c>
      <c r="B420" s="60">
        <f>IF(E420&gt;1/1/2001,B419+1," ")</f>
        <v/>
      </c>
      <c r="C420" s="59">
        <f>IF(B420&lt;&gt;" ",CONCATENATE(A420,B420)," ")</f>
        <v/>
      </c>
      <c r="J420" s="71" t="n"/>
    </row>
    <row r="421">
      <c r="A421" s="62" t="inlineStr">
        <is>
          <t>C</t>
        </is>
      </c>
      <c r="B421" s="60">
        <f>IF(E421&gt;1/1/2001,B420+1," ")</f>
        <v/>
      </c>
      <c r="C421" s="59">
        <f>IF(B421&lt;&gt;" ",CONCATENATE(A421,B421)," ")</f>
        <v/>
      </c>
      <c r="J421" s="71" t="n"/>
    </row>
    <row r="422">
      <c r="A422" s="62" t="inlineStr">
        <is>
          <t>C</t>
        </is>
      </c>
      <c r="B422" s="60">
        <f>IF(E422&gt;1/1/2001,B421+1," ")</f>
        <v/>
      </c>
      <c r="C422" s="59">
        <f>IF(B422&lt;&gt;" ",CONCATENATE(A422,B422)," ")</f>
        <v/>
      </c>
      <c r="J422" s="71" t="n"/>
    </row>
    <row r="423">
      <c r="A423" s="62" t="inlineStr">
        <is>
          <t>C</t>
        </is>
      </c>
      <c r="B423" s="60">
        <f>IF(E423&gt;1/1/2001,B422+1," ")</f>
        <v/>
      </c>
      <c r="C423" s="59">
        <f>IF(B423&lt;&gt;" ",CONCATENATE(A423,B423)," ")</f>
        <v/>
      </c>
      <c r="J423" s="71" t="n"/>
    </row>
    <row r="424">
      <c r="A424" s="62" t="inlineStr">
        <is>
          <t>C</t>
        </is>
      </c>
      <c r="B424" s="60">
        <f>IF(E424&gt;1/1/2001,B423+1," ")</f>
        <v/>
      </c>
      <c r="C424" s="59">
        <f>IF(B424&lt;&gt;" ",CONCATENATE(A424,B424)," ")</f>
        <v/>
      </c>
      <c r="J424" s="71" t="n"/>
    </row>
    <row r="425">
      <c r="A425" s="62" t="inlineStr">
        <is>
          <t>C</t>
        </is>
      </c>
      <c r="B425" s="60">
        <f>IF(E425&gt;1/1/2001,B424+1," ")</f>
        <v/>
      </c>
      <c r="C425" s="59">
        <f>IF(B425&lt;&gt;" ",CONCATENATE(A425,B425)," ")</f>
        <v/>
      </c>
      <c r="J425" s="71" t="n"/>
    </row>
    <row r="426">
      <c r="A426" s="62" t="inlineStr">
        <is>
          <t>C</t>
        </is>
      </c>
      <c r="B426" s="60">
        <f>IF(E426&gt;1/1/2001,B425+1," ")</f>
        <v/>
      </c>
      <c r="C426" s="59">
        <f>IF(B426&lt;&gt;" ",CONCATENATE(A426,B426)," ")</f>
        <v/>
      </c>
      <c r="J426" s="71" t="n"/>
    </row>
    <row r="427">
      <c r="A427" s="62" t="inlineStr">
        <is>
          <t>C</t>
        </is>
      </c>
      <c r="B427" s="60">
        <f>IF(E427&gt;1/1/2001,B426+1," ")</f>
        <v/>
      </c>
      <c r="C427" s="59">
        <f>IF(B427&lt;&gt;" ",CONCATENATE(A427,B427)," ")</f>
        <v/>
      </c>
      <c r="J427" s="71" t="n"/>
    </row>
    <row r="428">
      <c r="A428" s="62" t="inlineStr">
        <is>
          <t>C</t>
        </is>
      </c>
      <c r="B428" s="60">
        <f>IF(E428&gt;1/1/2001,B427+1," ")</f>
        <v/>
      </c>
      <c r="C428" s="59">
        <f>IF(B428&lt;&gt;" ",CONCATENATE(A428,B428)," ")</f>
        <v/>
      </c>
      <c r="J428" s="71" t="n"/>
    </row>
    <row r="429">
      <c r="A429" s="62" t="inlineStr">
        <is>
          <t>C</t>
        </is>
      </c>
      <c r="B429" s="60">
        <f>IF(E429&gt;1/1/2001,B428+1," ")</f>
        <v/>
      </c>
      <c r="C429" s="59">
        <f>IF(B429&lt;&gt;" ",CONCATENATE(A429,B429)," ")</f>
        <v/>
      </c>
      <c r="J429" s="71" t="n"/>
    </row>
    <row r="430">
      <c r="A430" s="62" t="inlineStr">
        <is>
          <t>C</t>
        </is>
      </c>
      <c r="B430" s="60">
        <f>IF(E430&gt;1/1/2001,B429+1," ")</f>
        <v/>
      </c>
      <c r="C430" s="59">
        <f>IF(B430&lt;&gt;" ",CONCATENATE(A430,B430)," ")</f>
        <v/>
      </c>
      <c r="J430" s="71" t="n"/>
    </row>
    <row r="431">
      <c r="A431" s="62" t="inlineStr">
        <is>
          <t>C</t>
        </is>
      </c>
      <c r="B431" s="60">
        <f>IF(E431&gt;1/1/2001,B430+1," ")</f>
        <v/>
      </c>
      <c r="C431" s="59">
        <f>IF(B431&lt;&gt;" ",CONCATENATE(A431,B431)," ")</f>
        <v/>
      </c>
      <c r="J431" s="71" t="n"/>
    </row>
    <row r="432">
      <c r="A432" s="62" t="inlineStr">
        <is>
          <t>C</t>
        </is>
      </c>
      <c r="B432" s="60">
        <f>IF(E432&gt;1/1/2001,B431+1," ")</f>
        <v/>
      </c>
      <c r="C432" s="59">
        <f>IF(B432&lt;&gt;" ",CONCATENATE(A432,B432)," ")</f>
        <v/>
      </c>
      <c r="J432" s="71" t="n"/>
    </row>
    <row r="433">
      <c r="A433" s="62" t="inlineStr">
        <is>
          <t>C</t>
        </is>
      </c>
      <c r="B433" s="60">
        <f>IF(E433&gt;1/1/2001,B432+1," ")</f>
        <v/>
      </c>
      <c r="C433" s="59">
        <f>IF(B433&lt;&gt;" ",CONCATENATE(A433,B433)," ")</f>
        <v/>
      </c>
      <c r="J433" s="71" t="n"/>
    </row>
    <row r="434">
      <c r="A434" s="62" t="inlineStr">
        <is>
          <t>C</t>
        </is>
      </c>
      <c r="B434" s="60">
        <f>IF(E434&gt;1/1/2001,B433+1," ")</f>
        <v/>
      </c>
      <c r="C434" s="59">
        <f>IF(B434&lt;&gt;" ",CONCATENATE(A434,B434)," ")</f>
        <v/>
      </c>
      <c r="J434" s="71" t="n"/>
    </row>
    <row r="435">
      <c r="A435" s="62" t="inlineStr">
        <is>
          <t>C</t>
        </is>
      </c>
      <c r="B435" s="60">
        <f>IF(E435&gt;1/1/2001,B434+1," ")</f>
        <v/>
      </c>
      <c r="C435" s="59">
        <f>IF(B435&lt;&gt;" ",CONCATENATE(A435,B435)," ")</f>
        <v/>
      </c>
      <c r="J435" s="71" t="n"/>
    </row>
    <row r="436">
      <c r="A436" s="62" t="inlineStr">
        <is>
          <t>C</t>
        </is>
      </c>
      <c r="B436" s="60">
        <f>IF(E436&gt;1/1/2001,B435+1," ")</f>
        <v/>
      </c>
      <c r="C436" s="59">
        <f>IF(B436&lt;&gt;" ",CONCATENATE(A436,B436)," ")</f>
        <v/>
      </c>
      <c r="J436" s="71" t="n"/>
    </row>
    <row r="437">
      <c r="A437" s="62" t="inlineStr">
        <is>
          <t>C</t>
        </is>
      </c>
      <c r="B437" s="60">
        <f>IF(E437&gt;1/1/2001,B436+1," ")</f>
        <v/>
      </c>
      <c r="C437" s="59">
        <f>IF(B437&lt;&gt;" ",CONCATENATE(A437,B437)," ")</f>
        <v/>
      </c>
      <c r="J437" s="71" t="n"/>
    </row>
    <row r="438">
      <c r="A438" s="62" t="inlineStr">
        <is>
          <t>C</t>
        </is>
      </c>
      <c r="B438" s="60">
        <f>IF(E438&gt;1/1/2001,B437+1," ")</f>
        <v/>
      </c>
      <c r="C438" s="59">
        <f>IF(B438&lt;&gt;" ",CONCATENATE(A438,B438)," ")</f>
        <v/>
      </c>
      <c r="J438" s="71" t="n"/>
    </row>
    <row r="439">
      <c r="A439" s="62" t="inlineStr">
        <is>
          <t>C</t>
        </is>
      </c>
      <c r="B439" s="60">
        <f>IF(E439&gt;1/1/2001,B438+1," ")</f>
        <v/>
      </c>
      <c r="C439" s="59">
        <f>IF(B439&lt;&gt;" ",CONCATENATE(A439,B439)," ")</f>
        <v/>
      </c>
      <c r="J439" s="71" t="n"/>
    </row>
    <row r="440">
      <c r="A440" s="62" t="inlineStr">
        <is>
          <t>C</t>
        </is>
      </c>
      <c r="B440" s="60">
        <f>IF(E440&gt;1/1/2001,B439+1," ")</f>
        <v/>
      </c>
      <c r="C440" s="59">
        <f>IF(B440&lt;&gt;" ",CONCATENATE(A440,B440)," ")</f>
        <v/>
      </c>
      <c r="J440" s="71" t="n"/>
    </row>
    <row r="441">
      <c r="A441" s="62" t="inlineStr">
        <is>
          <t>C</t>
        </is>
      </c>
      <c r="B441" s="60">
        <f>IF(E441&gt;1/1/2001,B440+1," ")</f>
        <v/>
      </c>
      <c r="C441" s="59">
        <f>IF(B441&lt;&gt;" ",CONCATENATE(A441,B441)," ")</f>
        <v/>
      </c>
      <c r="J441" s="71" t="n"/>
    </row>
    <row r="442">
      <c r="A442" s="62" t="inlineStr">
        <is>
          <t>C</t>
        </is>
      </c>
      <c r="B442" s="60">
        <f>IF(E442&gt;1/1/2001,B441+1," ")</f>
        <v/>
      </c>
      <c r="C442" s="59">
        <f>IF(B442&lt;&gt;" ",CONCATENATE(A442,B442)," ")</f>
        <v/>
      </c>
      <c r="J442" s="71" t="n"/>
    </row>
    <row r="443">
      <c r="A443" s="62" t="inlineStr">
        <is>
          <t>C</t>
        </is>
      </c>
      <c r="B443" s="60">
        <f>IF(E443&gt;1/1/2001,B442+1," ")</f>
        <v/>
      </c>
      <c r="C443" s="59">
        <f>IF(B443&lt;&gt;" ",CONCATENATE(A443,B443)," ")</f>
        <v/>
      </c>
      <c r="J443" s="71" t="n"/>
    </row>
    <row r="444">
      <c r="A444" s="62" t="inlineStr">
        <is>
          <t>C</t>
        </is>
      </c>
      <c r="B444" s="60">
        <f>IF(E444&gt;1/1/2001,B443+1," ")</f>
        <v/>
      </c>
      <c r="C444" s="59">
        <f>IF(B444&lt;&gt;" ",CONCATENATE(A444,B444)," ")</f>
        <v/>
      </c>
      <c r="J444" s="71" t="n"/>
    </row>
    <row r="445">
      <c r="A445" s="62" t="inlineStr">
        <is>
          <t>C</t>
        </is>
      </c>
      <c r="B445" s="60">
        <f>IF(E445&gt;1/1/2001,B444+1," ")</f>
        <v/>
      </c>
      <c r="C445" s="59">
        <f>IF(B445&lt;&gt;" ",CONCATENATE(A445,B445)," ")</f>
        <v/>
      </c>
      <c r="J445" s="71" t="n"/>
    </row>
    <row r="446">
      <c r="A446" s="62" t="inlineStr">
        <is>
          <t>C</t>
        </is>
      </c>
      <c r="B446" s="60">
        <f>IF(E446&gt;1/1/2001,B445+1," ")</f>
        <v/>
      </c>
      <c r="C446" s="59">
        <f>IF(B446&lt;&gt;" ",CONCATENATE(A446,B446)," ")</f>
        <v/>
      </c>
      <c r="J446" s="71" t="n"/>
    </row>
    <row r="447">
      <c r="A447" s="62" t="inlineStr">
        <is>
          <t>C</t>
        </is>
      </c>
      <c r="B447" s="60">
        <f>IF(E447&gt;1/1/2001,B446+1," ")</f>
        <v/>
      </c>
      <c r="C447" s="59">
        <f>IF(B447&lt;&gt;" ",CONCATENATE(A447,B447)," ")</f>
        <v/>
      </c>
      <c r="J447" s="71" t="n"/>
    </row>
    <row r="448">
      <c r="A448" s="62" t="inlineStr">
        <is>
          <t>C</t>
        </is>
      </c>
      <c r="B448" s="60">
        <f>IF(E448&gt;1/1/2001,B447+1," ")</f>
        <v/>
      </c>
      <c r="C448" s="59">
        <f>IF(B448&lt;&gt;" ",CONCATENATE(A448,B448)," ")</f>
        <v/>
      </c>
      <c r="J448" s="71" t="n"/>
    </row>
    <row r="449">
      <c r="A449" s="62" t="inlineStr">
        <is>
          <t>C</t>
        </is>
      </c>
      <c r="B449" s="60">
        <f>IF(E449&gt;1/1/2001,B448+1," ")</f>
        <v/>
      </c>
      <c r="C449" s="59">
        <f>IF(B449&lt;&gt;" ",CONCATENATE(A449,B449)," ")</f>
        <v/>
      </c>
      <c r="J449" s="71" t="n"/>
    </row>
    <row r="450">
      <c r="A450" s="62" t="inlineStr">
        <is>
          <t>C</t>
        </is>
      </c>
      <c r="B450" s="60">
        <f>IF(E450&gt;1/1/2001,B449+1," ")</f>
        <v/>
      </c>
      <c r="C450" s="59">
        <f>IF(B450&lt;&gt;" ",CONCATENATE(A450,B450)," ")</f>
        <v/>
      </c>
      <c r="J450" s="71" t="n"/>
    </row>
    <row r="451">
      <c r="A451" s="62" t="inlineStr">
        <is>
          <t>C</t>
        </is>
      </c>
      <c r="B451" s="60">
        <f>IF(E451&gt;1/1/2001,B450+1," ")</f>
        <v/>
      </c>
      <c r="C451" s="59">
        <f>IF(B451&lt;&gt;" ",CONCATENATE(A451,B451)," ")</f>
        <v/>
      </c>
      <c r="J451" s="71" t="n"/>
    </row>
    <row r="452">
      <c r="A452" s="62" t="inlineStr">
        <is>
          <t>C</t>
        </is>
      </c>
      <c r="B452" s="60">
        <f>IF(E452&gt;1/1/2001,B451+1," ")</f>
        <v/>
      </c>
      <c r="C452" s="59">
        <f>IF(B452&lt;&gt;" ",CONCATENATE(A452,B452)," ")</f>
        <v/>
      </c>
      <c r="J452" s="71" t="n"/>
    </row>
    <row r="453">
      <c r="A453" s="62" t="inlineStr">
        <is>
          <t>C</t>
        </is>
      </c>
      <c r="B453" s="60">
        <f>IF(E453&gt;1/1/2001,B452+1," ")</f>
        <v/>
      </c>
      <c r="C453" s="59">
        <f>IF(B453&lt;&gt;" ",CONCATENATE(A453,B453)," ")</f>
        <v/>
      </c>
      <c r="J453" s="71" t="n"/>
    </row>
    <row r="454">
      <c r="A454" s="62" t="inlineStr">
        <is>
          <t>C</t>
        </is>
      </c>
      <c r="B454" s="60">
        <f>IF(E454&gt;1/1/2001,B453+1," ")</f>
        <v/>
      </c>
      <c r="C454" s="59">
        <f>IF(B454&lt;&gt;" ",CONCATENATE(A454,B454)," ")</f>
        <v/>
      </c>
      <c r="J454" s="71" t="n"/>
    </row>
    <row r="455">
      <c r="A455" s="62" t="inlineStr">
        <is>
          <t>C</t>
        </is>
      </c>
      <c r="B455" s="60">
        <f>IF(E455&gt;1/1/2001,B454+1," ")</f>
        <v/>
      </c>
      <c r="C455" s="59">
        <f>IF(B455&lt;&gt;" ",CONCATENATE(A455,B455)," ")</f>
        <v/>
      </c>
      <c r="J455" s="71" t="n"/>
    </row>
    <row r="456">
      <c r="A456" s="62" t="inlineStr">
        <is>
          <t>C</t>
        </is>
      </c>
      <c r="B456" s="60">
        <f>IF(E456&gt;1/1/2001,B455+1," ")</f>
        <v/>
      </c>
      <c r="C456" s="59">
        <f>IF(B456&lt;&gt;" ",CONCATENATE(A456,B456)," ")</f>
        <v/>
      </c>
      <c r="J456" s="71" t="n"/>
    </row>
    <row r="457">
      <c r="A457" s="62" t="inlineStr">
        <is>
          <t>C</t>
        </is>
      </c>
      <c r="B457" s="60">
        <f>IF(E457&gt;1/1/2001,B456+1," ")</f>
        <v/>
      </c>
      <c r="C457" s="59">
        <f>IF(B457&lt;&gt;" ",CONCATENATE(A457,B457)," ")</f>
        <v/>
      </c>
      <c r="J457" s="71" t="n"/>
    </row>
    <row r="458">
      <c r="A458" s="62" t="inlineStr">
        <is>
          <t>C</t>
        </is>
      </c>
      <c r="B458" s="60">
        <f>IF(E458&gt;1/1/2001,B457+1," ")</f>
        <v/>
      </c>
      <c r="C458" s="59">
        <f>IF(B458&lt;&gt;" ",CONCATENATE(A458,B458)," ")</f>
        <v/>
      </c>
      <c r="J458" s="71" t="n"/>
    </row>
    <row r="459">
      <c r="A459" s="62" t="inlineStr">
        <is>
          <t>C</t>
        </is>
      </c>
      <c r="B459" s="60">
        <f>IF(E459&gt;1/1/2001,B458+1," ")</f>
        <v/>
      </c>
      <c r="C459" s="59">
        <f>IF(B459&lt;&gt;" ",CONCATENATE(A459,B459)," ")</f>
        <v/>
      </c>
      <c r="J459" s="71" t="n"/>
    </row>
    <row r="460">
      <c r="A460" s="62" t="inlineStr">
        <is>
          <t>C</t>
        </is>
      </c>
      <c r="B460" s="60">
        <f>IF(E460&gt;1/1/2001,B459+1," ")</f>
        <v/>
      </c>
      <c r="C460" s="59">
        <f>IF(B460&lt;&gt;" ",CONCATENATE(A460,B460)," ")</f>
        <v/>
      </c>
      <c r="J460" s="71" t="n"/>
    </row>
    <row r="461">
      <c r="A461" s="62" t="inlineStr">
        <is>
          <t>C</t>
        </is>
      </c>
      <c r="B461" s="60">
        <f>IF(E461&gt;1/1/2001,B460+1," ")</f>
        <v/>
      </c>
      <c r="C461" s="59">
        <f>IF(B461&lt;&gt;" ",CONCATENATE(A461,B461)," ")</f>
        <v/>
      </c>
      <c r="J461" s="71" t="n"/>
    </row>
    <row r="462">
      <c r="A462" s="62" t="inlineStr">
        <is>
          <t>C</t>
        </is>
      </c>
      <c r="B462" s="60">
        <f>IF(E462&gt;1/1/2001,B461+1," ")</f>
        <v/>
      </c>
      <c r="C462" s="59">
        <f>IF(B462&lt;&gt;" ",CONCATENATE(A462,B462)," ")</f>
        <v/>
      </c>
      <c r="J462" s="71" t="n"/>
    </row>
    <row r="463">
      <c r="A463" s="62" t="inlineStr">
        <is>
          <t>C</t>
        </is>
      </c>
      <c r="B463" s="60">
        <f>IF(E463&gt;1/1/2001,B462+1," ")</f>
        <v/>
      </c>
      <c r="C463" s="59">
        <f>IF(B463&lt;&gt;" ",CONCATENATE(A463,B463)," ")</f>
        <v/>
      </c>
      <c r="J463" s="71" t="n"/>
    </row>
    <row r="464">
      <c r="A464" s="62" t="inlineStr">
        <is>
          <t>C</t>
        </is>
      </c>
      <c r="B464" s="60">
        <f>IF(E464&gt;1/1/2001,B463+1," ")</f>
        <v/>
      </c>
      <c r="C464" s="59">
        <f>IF(B464&lt;&gt;" ",CONCATENATE(A464,B464)," ")</f>
        <v/>
      </c>
      <c r="J464" s="71" t="n"/>
    </row>
    <row r="465">
      <c r="A465" s="62" t="inlineStr">
        <is>
          <t>C</t>
        </is>
      </c>
      <c r="B465" s="60">
        <f>IF(E465&gt;1/1/2001,B464+1," ")</f>
        <v/>
      </c>
      <c r="C465" s="59">
        <f>IF(B465&lt;&gt;" ",CONCATENATE(A465,B465)," ")</f>
        <v/>
      </c>
      <c r="J465" s="71" t="n"/>
    </row>
    <row r="466">
      <c r="A466" s="62" t="inlineStr">
        <is>
          <t>C</t>
        </is>
      </c>
      <c r="B466" s="60">
        <f>IF(E466&gt;1/1/2001,B465+1," ")</f>
        <v/>
      </c>
      <c r="C466" s="59">
        <f>IF(B466&lt;&gt;" ",CONCATENATE(A466,B466)," ")</f>
        <v/>
      </c>
      <c r="J466" s="71" t="n"/>
    </row>
    <row r="467">
      <c r="A467" s="62" t="inlineStr">
        <is>
          <t>C</t>
        </is>
      </c>
      <c r="B467" s="60">
        <f>IF(E467&gt;1/1/2001,B466+1," ")</f>
        <v/>
      </c>
      <c r="C467" s="59">
        <f>IF(B467&lt;&gt;" ",CONCATENATE(A467,B467)," ")</f>
        <v/>
      </c>
      <c r="J467" s="71" t="n"/>
    </row>
    <row r="468">
      <c r="A468" s="62" t="inlineStr">
        <is>
          <t>C</t>
        </is>
      </c>
      <c r="B468" s="60">
        <f>IF(E468&gt;1/1/2001,B467+1," ")</f>
        <v/>
      </c>
      <c r="C468" s="59">
        <f>IF(B468&lt;&gt;" ",CONCATENATE(A468,B468)," ")</f>
        <v/>
      </c>
      <c r="J468" s="71" t="n"/>
    </row>
    <row r="469">
      <c r="A469" s="62" t="inlineStr">
        <is>
          <t>C</t>
        </is>
      </c>
      <c r="B469" s="60">
        <f>IF(E469&gt;1/1/2001,B468+1," ")</f>
        <v/>
      </c>
      <c r="C469" s="59">
        <f>IF(B469&lt;&gt;" ",CONCATENATE(A469,B469)," ")</f>
        <v/>
      </c>
      <c r="J469" s="71" t="n"/>
    </row>
    <row r="470">
      <c r="A470" s="62" t="inlineStr">
        <is>
          <t>C</t>
        </is>
      </c>
      <c r="B470" s="60">
        <f>IF(E470&gt;1/1/2001,B469+1," ")</f>
        <v/>
      </c>
      <c r="C470" s="59">
        <f>IF(B470&lt;&gt;" ",CONCATENATE(A470,B470)," ")</f>
        <v/>
      </c>
      <c r="J470" s="71" t="n"/>
    </row>
    <row r="471">
      <c r="A471" s="62" t="inlineStr">
        <is>
          <t>C</t>
        </is>
      </c>
      <c r="B471" s="60">
        <f>IF(E471&gt;1/1/2001,B470+1," ")</f>
        <v/>
      </c>
      <c r="C471" s="59">
        <f>IF(B471&lt;&gt;" ",CONCATENATE(A471,B471)," ")</f>
        <v/>
      </c>
      <c r="J471" s="71" t="n"/>
    </row>
    <row r="472">
      <c r="A472" s="62" t="inlineStr">
        <is>
          <t>C</t>
        </is>
      </c>
      <c r="B472" s="60">
        <f>IF(E472&gt;1/1/2001,B471+1," ")</f>
        <v/>
      </c>
      <c r="C472" s="59">
        <f>IF(B472&lt;&gt;" ",CONCATENATE(A472,B472)," ")</f>
        <v/>
      </c>
      <c r="J472" s="71" t="n"/>
    </row>
    <row r="473">
      <c r="A473" s="62" t="inlineStr">
        <is>
          <t>C</t>
        </is>
      </c>
      <c r="B473" s="60">
        <f>IF(E473&gt;1/1/2001,B472+1," ")</f>
        <v/>
      </c>
      <c r="C473" s="59">
        <f>IF(B473&lt;&gt;" ",CONCATENATE(A473,B473)," ")</f>
        <v/>
      </c>
      <c r="J473" s="71" t="n"/>
    </row>
    <row r="474">
      <c r="A474" s="62" t="inlineStr">
        <is>
          <t>C</t>
        </is>
      </c>
      <c r="B474" s="60">
        <f>IF(E474&gt;1/1/2001,B473+1," ")</f>
        <v/>
      </c>
      <c r="C474" s="59">
        <f>IF(B474&lt;&gt;" ",CONCATENATE(A474,B474)," ")</f>
        <v/>
      </c>
      <c r="J474" s="71" t="n"/>
    </row>
    <row r="475">
      <c r="A475" s="62" t="inlineStr">
        <is>
          <t>C</t>
        </is>
      </c>
      <c r="B475" s="60">
        <f>IF(E475&gt;1/1/2001,B474+1," ")</f>
        <v/>
      </c>
      <c r="C475" s="59">
        <f>IF(B475&lt;&gt;" ",CONCATENATE(A475,B475)," ")</f>
        <v/>
      </c>
      <c r="J475" s="71" t="n"/>
    </row>
    <row r="476">
      <c r="A476" s="62" t="inlineStr">
        <is>
          <t>C</t>
        </is>
      </c>
      <c r="B476" s="60">
        <f>IF(E476&gt;1/1/2001,B475+1," ")</f>
        <v/>
      </c>
      <c r="C476" s="59">
        <f>IF(B476&lt;&gt;" ",CONCATENATE(A476,B476)," ")</f>
        <v/>
      </c>
      <c r="J476" s="71" t="n"/>
    </row>
    <row r="477">
      <c r="A477" s="62" t="inlineStr">
        <is>
          <t>C</t>
        </is>
      </c>
      <c r="B477" s="60">
        <f>IF(E477&gt;1/1/2001,B476+1," ")</f>
        <v/>
      </c>
      <c r="C477" s="59">
        <f>IF(B477&lt;&gt;" ",CONCATENATE(A477,B477)," ")</f>
        <v/>
      </c>
      <c r="J477" s="71" t="n"/>
    </row>
    <row r="478">
      <c r="A478" s="62" t="inlineStr">
        <is>
          <t>C</t>
        </is>
      </c>
      <c r="B478" s="60">
        <f>IF(E478&gt;1/1/2001,B477+1," ")</f>
        <v/>
      </c>
      <c r="C478" s="59">
        <f>IF(B478&lt;&gt;" ",CONCATENATE(A478,B478)," ")</f>
        <v/>
      </c>
      <c r="J478" s="71" t="n"/>
    </row>
    <row r="479">
      <c r="A479" s="62" t="inlineStr">
        <is>
          <t>C</t>
        </is>
      </c>
      <c r="B479" s="60">
        <f>IF(E479&gt;1/1/2001,B478+1," ")</f>
        <v/>
      </c>
      <c r="C479" s="59">
        <f>IF(B479&lt;&gt;" ",CONCATENATE(A479,B479)," ")</f>
        <v/>
      </c>
      <c r="J479" s="71" t="n"/>
    </row>
    <row r="480">
      <c r="A480" s="62" t="inlineStr">
        <is>
          <t>C</t>
        </is>
      </c>
      <c r="B480" s="60">
        <f>IF(E480&gt;1/1/2001,B479+1," ")</f>
        <v/>
      </c>
      <c r="C480" s="59">
        <f>IF(B480&lt;&gt;" ",CONCATENATE(A480,B480)," ")</f>
        <v/>
      </c>
      <c r="J480" s="71" t="n"/>
    </row>
    <row r="481">
      <c r="A481" s="62" t="inlineStr">
        <is>
          <t>C</t>
        </is>
      </c>
      <c r="B481" s="60">
        <f>IF(E481&gt;1/1/2001,B480+1," ")</f>
        <v/>
      </c>
      <c r="C481" s="59">
        <f>IF(B481&lt;&gt;" ",CONCATENATE(A481,B481)," ")</f>
        <v/>
      </c>
      <c r="J481" s="71" t="n"/>
    </row>
    <row r="482">
      <c r="A482" s="62" t="inlineStr">
        <is>
          <t>C</t>
        </is>
      </c>
      <c r="B482" s="60">
        <f>IF(E482&gt;1/1/2001,B481+1," ")</f>
        <v/>
      </c>
      <c r="C482" s="59">
        <f>IF(B482&lt;&gt;" ",CONCATENATE(A482,B482)," ")</f>
        <v/>
      </c>
      <c r="J482" s="71" t="n"/>
    </row>
    <row r="483">
      <c r="A483" s="62" t="inlineStr">
        <is>
          <t>C</t>
        </is>
      </c>
      <c r="B483" s="60">
        <f>IF(E483&gt;1/1/2001,B482+1," ")</f>
        <v/>
      </c>
      <c r="C483" s="59">
        <f>IF(B483&lt;&gt;" ",CONCATENATE(A483,B483)," ")</f>
        <v/>
      </c>
      <c r="J483" s="71" t="n"/>
    </row>
    <row r="484">
      <c r="A484" s="62" t="inlineStr">
        <is>
          <t>C</t>
        </is>
      </c>
      <c r="B484" s="60">
        <f>IF(E484&gt;1/1/2001,B483+1," ")</f>
        <v/>
      </c>
      <c r="C484" s="59">
        <f>IF(B484&lt;&gt;" ",CONCATENATE(A484,B484)," ")</f>
        <v/>
      </c>
      <c r="J484" s="71" t="n"/>
    </row>
    <row r="485">
      <c r="A485" s="62" t="inlineStr">
        <is>
          <t>C</t>
        </is>
      </c>
      <c r="B485" s="60">
        <f>IF(E485&gt;1/1/2001,B484+1," ")</f>
        <v/>
      </c>
      <c r="C485" s="59">
        <f>IF(B485&lt;&gt;" ",CONCATENATE(A485,B485)," ")</f>
        <v/>
      </c>
      <c r="J485" s="71" t="n"/>
    </row>
    <row r="486">
      <c r="A486" s="62" t="inlineStr">
        <is>
          <t>C</t>
        </is>
      </c>
      <c r="B486" s="60">
        <f>IF(E486&gt;1/1/2001,B485+1," ")</f>
        <v/>
      </c>
      <c r="C486" s="59">
        <f>IF(B486&lt;&gt;" ",CONCATENATE(A486,B486)," ")</f>
        <v/>
      </c>
      <c r="J486" s="71" t="n"/>
    </row>
    <row r="487">
      <c r="A487" s="62" t="inlineStr">
        <is>
          <t>C</t>
        </is>
      </c>
      <c r="B487" s="60">
        <f>IF(E487&gt;1/1/2001,B486+1," ")</f>
        <v/>
      </c>
      <c r="C487" s="59">
        <f>IF(B487&lt;&gt;" ",CONCATENATE(A487,B487)," ")</f>
        <v/>
      </c>
      <c r="J487" s="71" t="n"/>
    </row>
    <row r="488">
      <c r="A488" s="62" t="inlineStr">
        <is>
          <t>C</t>
        </is>
      </c>
      <c r="B488" s="60">
        <f>IF(E488&gt;1/1/2001,B487+1," ")</f>
        <v/>
      </c>
      <c r="C488" s="59">
        <f>IF(B488&lt;&gt;" ",CONCATENATE(A488,B488)," ")</f>
        <v/>
      </c>
      <c r="J488" s="71" t="n"/>
    </row>
    <row r="489">
      <c r="A489" s="62" t="inlineStr">
        <is>
          <t>C</t>
        </is>
      </c>
      <c r="B489" s="60">
        <f>IF(E489&gt;1/1/2001,B488+1," ")</f>
        <v/>
      </c>
      <c r="C489" s="59">
        <f>IF(B489&lt;&gt;" ",CONCATENATE(A489,B489)," ")</f>
        <v/>
      </c>
      <c r="J489" s="71" t="n"/>
    </row>
    <row r="490">
      <c r="A490" s="62" t="inlineStr">
        <is>
          <t>C</t>
        </is>
      </c>
      <c r="B490" s="60">
        <f>IF(E490&gt;1/1/2001,B489+1," ")</f>
        <v/>
      </c>
      <c r="C490" s="59">
        <f>IF(B490&lt;&gt;" ",CONCATENATE(A490,B490)," ")</f>
        <v/>
      </c>
      <c r="J490" s="71" t="n"/>
    </row>
    <row r="491">
      <c r="A491" s="62" t="inlineStr">
        <is>
          <t>C</t>
        </is>
      </c>
      <c r="B491" s="60">
        <f>IF(E491&gt;1/1/2001,B490+1," ")</f>
        <v/>
      </c>
      <c r="C491" s="59">
        <f>IF(B491&lt;&gt;" ",CONCATENATE(A491,B491)," ")</f>
        <v/>
      </c>
      <c r="J491" s="71" t="n"/>
    </row>
    <row r="492">
      <c r="A492" s="62" t="inlineStr">
        <is>
          <t>C</t>
        </is>
      </c>
      <c r="B492" s="60">
        <f>IF(E492&gt;1/1/2001,B491+1," ")</f>
        <v/>
      </c>
      <c r="C492" s="59">
        <f>IF(B492&lt;&gt;" ",CONCATENATE(A492,B492)," ")</f>
        <v/>
      </c>
      <c r="J492" s="71" t="n"/>
    </row>
    <row r="493">
      <c r="A493" s="62" t="inlineStr">
        <is>
          <t>C</t>
        </is>
      </c>
      <c r="B493" s="60">
        <f>IF(E493&gt;1/1/2001,B492+1," ")</f>
        <v/>
      </c>
      <c r="C493" s="59">
        <f>IF(B493&lt;&gt;" ",CONCATENATE(A493,B493)," ")</f>
        <v/>
      </c>
      <c r="J493" s="71" t="n"/>
    </row>
    <row r="494">
      <c r="A494" s="62" t="inlineStr">
        <is>
          <t>C</t>
        </is>
      </c>
      <c r="B494" s="60">
        <f>IF(E494&gt;1/1/2001,B493+1," ")</f>
        <v/>
      </c>
      <c r="C494" s="59">
        <f>IF(B494&lt;&gt;" ",CONCATENATE(A494,B494)," ")</f>
        <v/>
      </c>
      <c r="J494" s="71" t="n"/>
    </row>
    <row r="495">
      <c r="A495" s="62" t="inlineStr">
        <is>
          <t>C</t>
        </is>
      </c>
      <c r="B495" s="60">
        <f>IF(E495&gt;1/1/2001,B494+1," ")</f>
        <v/>
      </c>
      <c r="C495" s="59">
        <f>IF(B495&lt;&gt;" ",CONCATENATE(A495,B495)," ")</f>
        <v/>
      </c>
      <c r="J495" s="71" t="n"/>
    </row>
    <row r="496">
      <c r="A496" s="62" t="inlineStr">
        <is>
          <t>C</t>
        </is>
      </c>
      <c r="B496" s="60">
        <f>IF(E496&gt;1/1/2001,B495+1," ")</f>
        <v/>
      </c>
      <c r="C496" s="59">
        <f>IF(B496&lt;&gt;" ",CONCATENATE(A496,B496)," ")</f>
        <v/>
      </c>
      <c r="J496" s="71" t="n"/>
    </row>
    <row r="497">
      <c r="A497" s="62" t="inlineStr">
        <is>
          <t>C</t>
        </is>
      </c>
      <c r="B497" s="60">
        <f>IF(E497&gt;1/1/2001,B496+1," ")</f>
        <v/>
      </c>
      <c r="C497" s="59">
        <f>IF(B497&lt;&gt;" ",CONCATENATE(A497,B497)," ")</f>
        <v/>
      </c>
      <c r="J497" s="71" t="n"/>
    </row>
    <row r="498">
      <c r="A498" s="62" t="inlineStr">
        <is>
          <t>C</t>
        </is>
      </c>
      <c r="B498" s="60">
        <f>IF(E498&gt;1/1/2001,B497+1," ")</f>
        <v/>
      </c>
      <c r="C498" s="59">
        <f>IF(B498&lt;&gt;" ",CONCATENATE(A498,B498)," ")</f>
        <v/>
      </c>
      <c r="J498" s="71" t="n"/>
    </row>
    <row r="499">
      <c r="A499" s="62" t="inlineStr">
        <is>
          <t>C</t>
        </is>
      </c>
      <c r="B499" s="60">
        <f>IF(E499&gt;1/1/2001,B498+1," ")</f>
        <v/>
      </c>
      <c r="C499" s="59">
        <f>IF(B499&lt;&gt;" ",CONCATENATE(A499,B499)," ")</f>
        <v/>
      </c>
      <c r="J499" s="71" t="n"/>
    </row>
    <row r="500">
      <c r="A500" s="62" t="inlineStr">
        <is>
          <t>C</t>
        </is>
      </c>
      <c r="B500" s="60">
        <f>IF(E500&gt;1/1/2001,B499+1," ")</f>
        <v/>
      </c>
      <c r="C500" s="59">
        <f>IF(B500&lt;&gt;" ",CONCATENATE(A500,B500)," ")</f>
        <v/>
      </c>
      <c r="J500" s="71" t="n"/>
    </row>
    <row r="501">
      <c r="A501" s="62" t="inlineStr">
        <is>
          <t>C</t>
        </is>
      </c>
      <c r="B501" s="60">
        <f>IF(E501&gt;1/1/2001,B500+1," ")</f>
        <v/>
      </c>
      <c r="C501" s="59">
        <f>IF(B501&lt;&gt;" ",CONCATENATE(A501,B501)," ")</f>
        <v/>
      </c>
      <c r="J501" s="71" t="n"/>
    </row>
    <row r="502">
      <c r="A502" s="62" t="inlineStr">
        <is>
          <t>C</t>
        </is>
      </c>
      <c r="B502" s="60">
        <f>IF(E502&gt;1/1/2001,B501+1," ")</f>
        <v/>
      </c>
      <c r="C502" s="59">
        <f>IF(B502&lt;&gt;" ",CONCATENATE(A502,B502)," ")</f>
        <v/>
      </c>
      <c r="J502" s="71" t="n"/>
    </row>
    <row r="503">
      <c r="A503" s="62" t="inlineStr">
        <is>
          <t>C</t>
        </is>
      </c>
      <c r="B503" s="60">
        <f>IF(E503&gt;1/1/2001,B502+1," ")</f>
        <v/>
      </c>
      <c r="C503" s="59">
        <f>IF(B503&lt;&gt;" ",CONCATENATE(A503,B503)," ")</f>
        <v/>
      </c>
      <c r="J503" s="71" t="n"/>
    </row>
    <row r="504">
      <c r="A504" s="62" t="inlineStr">
        <is>
          <t>C</t>
        </is>
      </c>
      <c r="B504" s="60">
        <f>IF(E504&gt;1/1/2001,B503+1," ")</f>
        <v/>
      </c>
      <c r="C504" s="59">
        <f>IF(B504&lt;&gt;" ",CONCATENATE(A504,B504)," ")</f>
        <v/>
      </c>
      <c r="J504" s="71" t="n"/>
    </row>
    <row r="505">
      <c r="A505" s="62" t="inlineStr">
        <is>
          <t>C</t>
        </is>
      </c>
      <c r="B505" s="60">
        <f>IF(E505&gt;1/1/2001,B504+1," ")</f>
        <v/>
      </c>
      <c r="C505" s="59">
        <f>IF(B505&lt;&gt;" ",CONCATENATE(A505,B505)," ")</f>
        <v/>
      </c>
      <c r="J505" s="71" t="n"/>
    </row>
    <row r="506">
      <c r="A506" s="62" t="inlineStr">
        <is>
          <t>C</t>
        </is>
      </c>
      <c r="B506" s="60">
        <f>IF(E506&gt;1/1/2001,B505+1," ")</f>
        <v/>
      </c>
      <c r="C506" s="59">
        <f>IF(B506&lt;&gt;" ",CONCATENATE(A506,B506)," ")</f>
        <v/>
      </c>
      <c r="J506" s="71" t="n"/>
    </row>
    <row r="507">
      <c r="A507" s="62" t="inlineStr">
        <is>
          <t>C</t>
        </is>
      </c>
      <c r="B507" s="60">
        <f>IF(E507&gt;1/1/2001,B506+1," ")</f>
        <v/>
      </c>
      <c r="C507" s="59">
        <f>IF(B507&lt;&gt;" ",CONCATENATE(A507,B507)," ")</f>
        <v/>
      </c>
      <c r="J507" s="71" t="n"/>
    </row>
    <row r="508">
      <c r="A508" s="62" t="inlineStr">
        <is>
          <t>C</t>
        </is>
      </c>
      <c r="B508" s="60">
        <f>IF(E508&gt;1/1/2001,B507+1," ")</f>
        <v/>
      </c>
      <c r="C508" s="59">
        <f>IF(B508&lt;&gt;" ",CONCATENATE(A508,B508)," ")</f>
        <v/>
      </c>
      <c r="J508" s="71" t="n"/>
    </row>
    <row r="509">
      <c r="A509" s="62" t="inlineStr">
        <is>
          <t>C</t>
        </is>
      </c>
      <c r="B509" s="60">
        <f>IF(E509&gt;1/1/2001,B508+1," ")</f>
        <v/>
      </c>
      <c r="C509" s="59">
        <f>IF(B509&lt;&gt;" ",CONCATENATE(A509,B509)," ")</f>
        <v/>
      </c>
      <c r="J509" s="71" t="n"/>
    </row>
    <row r="510">
      <c r="A510" s="62" t="inlineStr">
        <is>
          <t>C</t>
        </is>
      </c>
      <c r="B510" s="60">
        <f>IF(E510&gt;1/1/2001,B509+1," ")</f>
        <v/>
      </c>
      <c r="C510" s="59">
        <f>IF(B510&lt;&gt;" ",CONCATENATE(A510,B510)," ")</f>
        <v/>
      </c>
      <c r="J510" s="71" t="n"/>
    </row>
    <row r="511">
      <c r="A511" s="62" t="inlineStr">
        <is>
          <t>C</t>
        </is>
      </c>
      <c r="B511" s="60">
        <f>IF(E511&gt;1/1/2001,B510+1," ")</f>
        <v/>
      </c>
      <c r="C511" s="59">
        <f>IF(B511&lt;&gt;" ",CONCATENATE(A511,B511)," ")</f>
        <v/>
      </c>
      <c r="J511" s="71" t="n"/>
    </row>
    <row r="512">
      <c r="A512" s="62" t="inlineStr">
        <is>
          <t>C</t>
        </is>
      </c>
      <c r="B512" s="60">
        <f>IF(E512&gt;1/1/2001,B511+1," ")</f>
        <v/>
      </c>
      <c r="C512" s="59">
        <f>IF(B512&lt;&gt;" ",CONCATENATE(A512,B512)," ")</f>
        <v/>
      </c>
      <c r="J512" s="71" t="n"/>
    </row>
    <row r="513">
      <c r="A513" s="62" t="inlineStr">
        <is>
          <t>C</t>
        </is>
      </c>
      <c r="B513" s="60">
        <f>IF(E513&gt;1/1/2001,B512+1," ")</f>
        <v/>
      </c>
      <c r="C513" s="59">
        <f>IF(B513&lt;&gt;" ",CONCATENATE(A513,B513)," ")</f>
        <v/>
      </c>
      <c r="J513" s="71" t="n"/>
    </row>
    <row r="514">
      <c r="A514" s="62" t="inlineStr">
        <is>
          <t>C</t>
        </is>
      </c>
      <c r="B514" s="60">
        <f>IF(E514&gt;1/1/2001,B513+1," ")</f>
        <v/>
      </c>
      <c r="C514" s="59">
        <f>IF(B514&lt;&gt;" ",CONCATENATE(A514,B514)," ")</f>
        <v/>
      </c>
      <c r="J514" s="71" t="n"/>
    </row>
    <row r="515">
      <c r="A515" s="62" t="inlineStr">
        <is>
          <t>C</t>
        </is>
      </c>
      <c r="B515" s="60">
        <f>IF(E515&gt;1/1/2001,B514+1," ")</f>
        <v/>
      </c>
      <c r="C515" s="59">
        <f>IF(B515&lt;&gt;" ",CONCATENATE(A515,B515)," ")</f>
        <v/>
      </c>
      <c r="J515" s="71" t="n"/>
    </row>
    <row r="516">
      <c r="A516" s="62" t="inlineStr">
        <is>
          <t>C</t>
        </is>
      </c>
      <c r="B516" s="60">
        <f>IF(E516&gt;1/1/2001,B515+1," ")</f>
        <v/>
      </c>
      <c r="C516" s="59">
        <f>IF(B516&lt;&gt;" ",CONCATENATE(A516,B516)," ")</f>
        <v/>
      </c>
      <c r="J516" s="71" t="n"/>
    </row>
    <row r="517">
      <c r="A517" s="62" t="inlineStr">
        <is>
          <t>C</t>
        </is>
      </c>
      <c r="B517" s="60">
        <f>IF(E517&gt;1/1/2001,B516+1," ")</f>
        <v/>
      </c>
      <c r="C517" s="59">
        <f>IF(B517&lt;&gt;" ",CONCATENATE(A517,B517)," ")</f>
        <v/>
      </c>
      <c r="J517" s="71" t="n"/>
    </row>
    <row r="518">
      <c r="A518" s="62" t="inlineStr">
        <is>
          <t>C</t>
        </is>
      </c>
      <c r="B518" s="60">
        <f>IF(E518&gt;1/1/2001,B517+1," ")</f>
        <v/>
      </c>
      <c r="C518" s="59">
        <f>IF(B518&lt;&gt;" ",CONCATENATE(A518,B518)," ")</f>
        <v/>
      </c>
      <c r="J518" s="71" t="n"/>
    </row>
    <row r="519">
      <c r="A519" s="62" t="inlineStr">
        <is>
          <t>C</t>
        </is>
      </c>
      <c r="B519" s="60">
        <f>IF(E519&gt;1/1/2001,B518+1," ")</f>
        <v/>
      </c>
      <c r="C519" s="59">
        <f>IF(B519&lt;&gt;" ",CONCATENATE(A519,B519)," ")</f>
        <v/>
      </c>
      <c r="J519" s="71" t="n"/>
    </row>
    <row r="520">
      <c r="A520" s="62" t="inlineStr">
        <is>
          <t>C</t>
        </is>
      </c>
      <c r="B520" s="60">
        <f>IF(E520&gt;1/1/2001,B519+1," ")</f>
        <v/>
      </c>
      <c r="C520" s="59">
        <f>IF(B520&lt;&gt;" ",CONCATENATE(A520,B520)," ")</f>
        <v/>
      </c>
      <c r="J520" s="71" t="n"/>
    </row>
    <row r="521">
      <c r="A521" s="62" t="inlineStr">
        <is>
          <t>C</t>
        </is>
      </c>
      <c r="B521" s="60">
        <f>IF(E521&gt;1/1/2001,B520+1," ")</f>
        <v/>
      </c>
      <c r="C521" s="59">
        <f>IF(B521&lt;&gt;" ",CONCATENATE(A521,B521)," ")</f>
        <v/>
      </c>
      <c r="J521" s="71" t="n"/>
    </row>
    <row r="522">
      <c r="A522" s="62" t="inlineStr">
        <is>
          <t>C</t>
        </is>
      </c>
      <c r="B522" s="60">
        <f>IF(E522&gt;1/1/2001,B521+1," ")</f>
        <v/>
      </c>
      <c r="C522" s="59">
        <f>IF(B522&lt;&gt;" ",CONCATENATE(A522,B522)," ")</f>
        <v/>
      </c>
      <c r="J522" s="71" t="n"/>
    </row>
    <row r="523">
      <c r="A523" s="62" t="inlineStr">
        <is>
          <t>C</t>
        </is>
      </c>
      <c r="B523" s="60">
        <f>IF(E523&gt;1/1/2001,B522+1," ")</f>
        <v/>
      </c>
      <c r="C523" s="59">
        <f>IF(B523&lt;&gt;" ",CONCATENATE(A523,B523)," ")</f>
        <v/>
      </c>
      <c r="J523" s="71" t="n"/>
    </row>
    <row r="524">
      <c r="A524" s="62" t="inlineStr">
        <is>
          <t>C</t>
        </is>
      </c>
      <c r="B524" s="60">
        <f>IF(E524&gt;1/1/2001,B523+1," ")</f>
        <v/>
      </c>
      <c r="C524" s="59">
        <f>IF(B524&lt;&gt;" ",CONCATENATE(A524,B524)," ")</f>
        <v/>
      </c>
      <c r="J524" s="71" t="n"/>
    </row>
    <row r="525">
      <c r="A525" s="62" t="inlineStr">
        <is>
          <t>C</t>
        </is>
      </c>
      <c r="B525" s="60">
        <f>IF(E525&gt;1/1/2001,B524+1," ")</f>
        <v/>
      </c>
      <c r="C525" s="59">
        <f>IF(B525&lt;&gt;" ",CONCATENATE(A525,B525)," ")</f>
        <v/>
      </c>
      <c r="J525" s="71" t="n"/>
    </row>
    <row r="526">
      <c r="A526" s="62" t="inlineStr">
        <is>
          <t>C</t>
        </is>
      </c>
      <c r="B526" s="60">
        <f>IF(E526&gt;1/1/2001,B525+1," ")</f>
        <v/>
      </c>
      <c r="C526" s="59">
        <f>IF(B526&lt;&gt;" ",CONCATENATE(A526,B526)," ")</f>
        <v/>
      </c>
      <c r="J526" s="71" t="n"/>
    </row>
    <row r="527">
      <c r="A527" s="62" t="inlineStr">
        <is>
          <t>C</t>
        </is>
      </c>
      <c r="B527" s="60">
        <f>IF(E527&gt;1/1/2001,B526+1," ")</f>
        <v/>
      </c>
      <c r="C527" s="59">
        <f>IF(B527&lt;&gt;" ",CONCATENATE(A527,B527)," ")</f>
        <v/>
      </c>
      <c r="J527" s="71" t="n"/>
    </row>
    <row r="528">
      <c r="A528" s="62" t="inlineStr">
        <is>
          <t>C</t>
        </is>
      </c>
      <c r="B528" s="60">
        <f>IF(E528&gt;1/1/2001,B527+1," ")</f>
        <v/>
      </c>
      <c r="C528" s="59">
        <f>IF(B528&lt;&gt;" ",CONCATENATE(A528,B528)," ")</f>
        <v/>
      </c>
      <c r="J528" s="71" t="n"/>
    </row>
    <row r="529">
      <c r="A529" s="62" t="inlineStr">
        <is>
          <t>C</t>
        </is>
      </c>
      <c r="B529" s="60">
        <f>IF(E529&gt;1/1/2001,B528+1," ")</f>
        <v/>
      </c>
      <c r="C529" s="59">
        <f>IF(B529&lt;&gt;" ",CONCATENATE(A529,B529)," ")</f>
        <v/>
      </c>
      <c r="J529" s="71" t="n"/>
    </row>
    <row r="530">
      <c r="A530" s="62" t="inlineStr">
        <is>
          <t>C</t>
        </is>
      </c>
      <c r="B530" s="60">
        <f>IF(E530&gt;1/1/2001,B529+1," ")</f>
        <v/>
      </c>
      <c r="C530" s="59">
        <f>IF(B530&lt;&gt;" ",CONCATENATE(A530,B530)," ")</f>
        <v/>
      </c>
      <c r="J530" s="71" t="n"/>
    </row>
    <row r="531">
      <c r="A531" s="62" t="inlineStr">
        <is>
          <t>C</t>
        </is>
      </c>
      <c r="B531" s="60">
        <f>IF(E531&gt;1/1/2001,B530+1," ")</f>
        <v/>
      </c>
      <c r="C531" s="59">
        <f>IF(B531&lt;&gt;" ",CONCATENATE(A531,B531)," ")</f>
        <v/>
      </c>
      <c r="J531" s="71" t="n"/>
    </row>
    <row r="532">
      <c r="A532" s="62" t="inlineStr">
        <is>
          <t>C</t>
        </is>
      </c>
      <c r="B532" s="60">
        <f>IF(E532&gt;1/1/2001,B531+1," ")</f>
        <v/>
      </c>
      <c r="C532" s="59">
        <f>IF(B532&lt;&gt;" ",CONCATENATE(A532,B532)," ")</f>
        <v/>
      </c>
      <c r="J532" s="71" t="n"/>
    </row>
    <row r="533">
      <c r="A533" s="62" t="inlineStr">
        <is>
          <t>C</t>
        </is>
      </c>
      <c r="B533" s="60">
        <f>IF(E533&gt;1/1/2001,B532+1," ")</f>
        <v/>
      </c>
      <c r="C533" s="59">
        <f>IF(B533&lt;&gt;" ",CONCATENATE(A533,B533)," ")</f>
        <v/>
      </c>
      <c r="J533" s="71" t="n"/>
    </row>
    <row r="534">
      <c r="A534" s="62" t="inlineStr">
        <is>
          <t>C</t>
        </is>
      </c>
      <c r="B534" s="60">
        <f>IF(E534&gt;1/1/2001,B533+1," ")</f>
        <v/>
      </c>
      <c r="C534" s="59">
        <f>IF(B534&lt;&gt;" ",CONCATENATE(A534,B534)," ")</f>
        <v/>
      </c>
      <c r="J534" s="71" t="n"/>
    </row>
    <row r="535">
      <c r="A535" s="62" t="inlineStr">
        <is>
          <t>C</t>
        </is>
      </c>
      <c r="B535" s="60">
        <f>IF(E535&gt;1/1/2001,B534+1," ")</f>
        <v/>
      </c>
      <c r="C535" s="59">
        <f>IF(B535&lt;&gt;" ",CONCATENATE(A535,B535)," ")</f>
        <v/>
      </c>
      <c r="J535" s="71" t="n"/>
    </row>
    <row r="536">
      <c r="A536" s="62" t="inlineStr">
        <is>
          <t>C</t>
        </is>
      </c>
      <c r="B536" s="60">
        <f>IF(E536&gt;1/1/2001,B535+1," ")</f>
        <v/>
      </c>
      <c r="C536" s="59">
        <f>IF(B536&lt;&gt;" ",CONCATENATE(A536,B536)," ")</f>
        <v/>
      </c>
      <c r="J536" s="71" t="n"/>
    </row>
    <row r="537">
      <c r="A537" s="62" t="inlineStr">
        <is>
          <t>C</t>
        </is>
      </c>
      <c r="B537" s="60">
        <f>IF(E537&gt;1/1/2001,B536+1," ")</f>
        <v/>
      </c>
      <c r="C537" s="59">
        <f>IF(B537&lt;&gt;" ",CONCATENATE(A537,B537)," ")</f>
        <v/>
      </c>
      <c r="J537" s="71" t="n"/>
    </row>
    <row r="538">
      <c r="A538" s="62" t="inlineStr">
        <is>
          <t>C</t>
        </is>
      </c>
      <c r="B538" s="60">
        <f>IF(E538&gt;1/1/2001,B537+1," ")</f>
        <v/>
      </c>
      <c r="C538" s="59">
        <f>IF(B538&lt;&gt;" ",CONCATENATE(A538,B538)," ")</f>
        <v/>
      </c>
      <c r="J538" s="71" t="n"/>
    </row>
    <row r="539">
      <c r="A539" s="62" t="inlineStr">
        <is>
          <t>C</t>
        </is>
      </c>
      <c r="B539" s="60">
        <f>IF(E539&gt;1/1/2001,B538+1," ")</f>
        <v/>
      </c>
      <c r="C539" s="59">
        <f>IF(B539&lt;&gt;" ",CONCATENATE(A539,B539)," ")</f>
        <v/>
      </c>
      <c r="J539" s="71" t="n"/>
    </row>
    <row r="540">
      <c r="A540" s="62" t="inlineStr">
        <is>
          <t>C</t>
        </is>
      </c>
      <c r="B540" s="60">
        <f>IF(E540&gt;1/1/2001,B539+1," ")</f>
        <v/>
      </c>
      <c r="C540" s="59">
        <f>IF(B540&lt;&gt;" ",CONCATENATE(A540,B540)," ")</f>
        <v/>
      </c>
      <c r="J540" s="71" t="n"/>
    </row>
    <row r="541">
      <c r="A541" s="62" t="inlineStr">
        <is>
          <t>C</t>
        </is>
      </c>
      <c r="B541" s="60">
        <f>IF(E541&gt;1/1/2001,B540+1," ")</f>
        <v/>
      </c>
      <c r="C541" s="59">
        <f>IF(B541&lt;&gt;" ",CONCATENATE(A541,B541)," ")</f>
        <v/>
      </c>
      <c r="J541" s="71" t="n"/>
    </row>
    <row r="542">
      <c r="A542" s="62" t="inlineStr">
        <is>
          <t>C</t>
        </is>
      </c>
      <c r="B542" s="60">
        <f>IF(E542&gt;1/1/2001,B541+1," ")</f>
        <v/>
      </c>
      <c r="C542" s="59">
        <f>IF(B542&lt;&gt;" ",CONCATENATE(A542,B542)," ")</f>
        <v/>
      </c>
      <c r="J542" s="71" t="n"/>
    </row>
    <row r="543">
      <c r="A543" s="62" t="inlineStr">
        <is>
          <t>C</t>
        </is>
      </c>
      <c r="B543" s="60">
        <f>IF(E543&gt;1/1/2001,B542+1," ")</f>
        <v/>
      </c>
      <c r="C543" s="59">
        <f>IF(B543&lt;&gt;" ",CONCATENATE(A543,B543)," ")</f>
        <v/>
      </c>
      <c r="J543" s="71" t="n"/>
    </row>
    <row r="544">
      <c r="A544" s="62" t="inlineStr">
        <is>
          <t>C</t>
        </is>
      </c>
      <c r="B544" s="60">
        <f>IF(E544&gt;1/1/2001,B543+1," ")</f>
        <v/>
      </c>
      <c r="C544" s="59">
        <f>IF(B544&lt;&gt;" ",CONCATENATE(A544,B544)," ")</f>
        <v/>
      </c>
      <c r="J544" s="71" t="n"/>
    </row>
    <row r="545">
      <c r="A545" s="62" t="inlineStr">
        <is>
          <t>C</t>
        </is>
      </c>
      <c r="B545" s="60">
        <f>IF(E545&gt;1/1/2001,B544+1," ")</f>
        <v/>
      </c>
      <c r="C545" s="59">
        <f>IF(B545&lt;&gt;" ",CONCATENATE(A545,B545)," ")</f>
        <v/>
      </c>
      <c r="J545" s="71" t="n"/>
    </row>
    <row r="546">
      <c r="A546" s="62" t="inlineStr">
        <is>
          <t>C</t>
        </is>
      </c>
      <c r="B546" s="60">
        <f>IF(E546&gt;1/1/2001,B545+1," ")</f>
        <v/>
      </c>
      <c r="C546" s="59">
        <f>IF(B546&lt;&gt;" ",CONCATENATE(A546,B546)," ")</f>
        <v/>
      </c>
      <c r="J546" s="71" t="n"/>
    </row>
    <row r="547">
      <c r="A547" s="62" t="inlineStr">
        <is>
          <t>C</t>
        </is>
      </c>
      <c r="B547" s="60">
        <f>IF(E547&gt;1/1/2001,B546+1," ")</f>
        <v/>
      </c>
      <c r="C547" s="59">
        <f>IF(B547&lt;&gt;" ",CONCATENATE(A547,B547)," ")</f>
        <v/>
      </c>
      <c r="J547" s="71" t="n"/>
    </row>
    <row r="548">
      <c r="A548" s="62" t="inlineStr">
        <is>
          <t>C</t>
        </is>
      </c>
      <c r="B548" s="60">
        <f>IF(E548&gt;1/1/2001,B547+1," ")</f>
        <v/>
      </c>
      <c r="C548" s="59">
        <f>IF(B548&lt;&gt;" ",CONCATENATE(A548,B548)," ")</f>
        <v/>
      </c>
      <c r="J548" s="71" t="n"/>
    </row>
    <row r="549">
      <c r="A549" s="62" t="inlineStr">
        <is>
          <t>C</t>
        </is>
      </c>
      <c r="B549" s="60">
        <f>IF(E549&gt;1/1/2001,B548+1," ")</f>
        <v/>
      </c>
      <c r="C549" s="59">
        <f>IF(B549&lt;&gt;" ",CONCATENATE(A549,B549)," ")</f>
        <v/>
      </c>
      <c r="J549" s="71" t="n"/>
    </row>
    <row r="550">
      <c r="A550" s="62" t="inlineStr">
        <is>
          <t>C</t>
        </is>
      </c>
      <c r="B550" s="60">
        <f>IF(E550&gt;1/1/2001,B549+1," ")</f>
        <v/>
      </c>
      <c r="C550" s="59">
        <f>IF(B550&lt;&gt;" ",CONCATENATE(A550,B550)," ")</f>
        <v/>
      </c>
      <c r="J550" s="71" t="n"/>
    </row>
    <row r="551">
      <c r="A551" s="62" t="inlineStr">
        <is>
          <t>C</t>
        </is>
      </c>
      <c r="B551" s="60">
        <f>IF(E551&gt;1/1/2001,B550+1," ")</f>
        <v/>
      </c>
      <c r="C551" s="59">
        <f>IF(B551&lt;&gt;" ",CONCATENATE(A551,B551)," ")</f>
        <v/>
      </c>
      <c r="J551" s="71" t="n"/>
    </row>
    <row r="552">
      <c r="A552" s="62" t="inlineStr">
        <is>
          <t>C</t>
        </is>
      </c>
      <c r="B552" s="60">
        <f>IF(E552&gt;1/1/2001,B551+1," ")</f>
        <v/>
      </c>
      <c r="C552" s="59">
        <f>IF(B552&lt;&gt;" ",CONCATENATE(A552,B552)," ")</f>
        <v/>
      </c>
      <c r="J552" s="71" t="n"/>
    </row>
    <row r="553">
      <c r="A553" s="62" t="inlineStr">
        <is>
          <t>C</t>
        </is>
      </c>
      <c r="B553" s="60">
        <f>IF(E553&gt;1/1/2001,B552+1," ")</f>
        <v/>
      </c>
      <c r="C553" s="59">
        <f>IF(B553&lt;&gt;" ",CONCATENATE(A553,B553)," ")</f>
        <v/>
      </c>
      <c r="J553" s="71" t="n"/>
    </row>
    <row r="554">
      <c r="A554" s="62" t="inlineStr">
        <is>
          <t>C</t>
        </is>
      </c>
      <c r="B554" s="60">
        <f>IF(E554&gt;1/1/2001,B553+1," ")</f>
        <v/>
      </c>
      <c r="C554" s="59">
        <f>IF(B554&lt;&gt;" ",CONCATENATE(A554,B554)," ")</f>
        <v/>
      </c>
      <c r="J554" s="71" t="n"/>
    </row>
    <row r="555">
      <c r="A555" s="62" t="inlineStr">
        <is>
          <t>C</t>
        </is>
      </c>
      <c r="B555" s="60">
        <f>IF(E555&gt;1/1/2001,B554+1," ")</f>
        <v/>
      </c>
      <c r="C555" s="59">
        <f>IF(B555&lt;&gt;" ",CONCATENATE(A555,B555)," ")</f>
        <v/>
      </c>
      <c r="J555" s="71" t="n"/>
    </row>
    <row r="556">
      <c r="A556" s="62" t="inlineStr">
        <is>
          <t>C</t>
        </is>
      </c>
      <c r="B556" s="60">
        <f>IF(E556&gt;1/1/2001,B555+1," ")</f>
        <v/>
      </c>
      <c r="C556" s="59">
        <f>IF(B556&lt;&gt;" ",CONCATENATE(A556,B556)," ")</f>
        <v/>
      </c>
      <c r="J556" s="71" t="n"/>
    </row>
    <row r="557">
      <c r="A557" s="62" t="inlineStr">
        <is>
          <t>C</t>
        </is>
      </c>
      <c r="B557" s="60">
        <f>IF(E557&gt;1/1/2001,B556+1," ")</f>
        <v/>
      </c>
      <c r="C557" s="59">
        <f>IF(B557&lt;&gt;" ",CONCATENATE(A557,B557)," ")</f>
        <v/>
      </c>
      <c r="J557" s="71" t="n"/>
    </row>
    <row r="558">
      <c r="A558" s="62" t="inlineStr">
        <is>
          <t>C</t>
        </is>
      </c>
      <c r="B558" s="60">
        <f>IF(E558&gt;1/1/2001,B557+1," ")</f>
        <v/>
      </c>
      <c r="C558" s="59">
        <f>IF(B558&lt;&gt;" ",CONCATENATE(A558,B558)," ")</f>
        <v/>
      </c>
      <c r="J558" s="71" t="n"/>
    </row>
    <row r="559">
      <c r="A559" s="62" t="inlineStr">
        <is>
          <t>C</t>
        </is>
      </c>
      <c r="B559" s="60">
        <f>IF(E559&gt;1/1/2001,B558+1," ")</f>
        <v/>
      </c>
      <c r="C559" s="59">
        <f>IF(B559&lt;&gt;" ",CONCATENATE(A559,B559)," ")</f>
        <v/>
      </c>
      <c r="J559" s="71" t="n"/>
    </row>
    <row r="560">
      <c r="A560" s="62" t="inlineStr">
        <is>
          <t>C</t>
        </is>
      </c>
      <c r="B560" s="60">
        <f>IF(E560&gt;1/1/2001,B559+1," ")</f>
        <v/>
      </c>
      <c r="C560" s="59">
        <f>IF(B560&lt;&gt;" ",CONCATENATE(A560,B560)," ")</f>
        <v/>
      </c>
      <c r="J560" s="71" t="n"/>
    </row>
    <row r="561">
      <c r="A561" s="62" t="inlineStr">
        <is>
          <t>C</t>
        </is>
      </c>
      <c r="B561" s="60">
        <f>IF(E561&gt;1/1/2001,B560+1," ")</f>
        <v/>
      </c>
      <c r="C561" s="59">
        <f>IF(B561&lt;&gt;" ",CONCATENATE(A561,B561)," ")</f>
        <v/>
      </c>
      <c r="J561" s="71" t="n"/>
    </row>
    <row r="562">
      <c r="A562" s="62" t="inlineStr">
        <is>
          <t>C</t>
        </is>
      </c>
      <c r="B562" s="60">
        <f>IF(E562&gt;1/1/2001,B561+1," ")</f>
        <v/>
      </c>
      <c r="C562" s="59">
        <f>IF(B562&lt;&gt;" ",CONCATENATE(A562,B562)," ")</f>
        <v/>
      </c>
      <c r="J562" s="71" t="n"/>
    </row>
    <row r="563">
      <c r="A563" s="62" t="inlineStr">
        <is>
          <t>C</t>
        </is>
      </c>
      <c r="B563" s="60">
        <f>IF(E563&gt;1/1/2001,B562+1," ")</f>
        <v/>
      </c>
      <c r="C563" s="59">
        <f>IF(B563&lt;&gt;" ",CONCATENATE(A563,B563)," ")</f>
        <v/>
      </c>
      <c r="J563" s="71" t="n"/>
    </row>
    <row r="564">
      <c r="A564" s="62" t="inlineStr">
        <is>
          <t>C</t>
        </is>
      </c>
      <c r="B564" s="60">
        <f>IF(E564&gt;1/1/2001,B563+1," ")</f>
        <v/>
      </c>
      <c r="C564" s="59">
        <f>IF(B564&lt;&gt;" ",CONCATENATE(A564,B564)," ")</f>
        <v/>
      </c>
      <c r="J564" s="71" t="n"/>
    </row>
    <row r="565">
      <c r="A565" s="62" t="inlineStr">
        <is>
          <t>C</t>
        </is>
      </c>
      <c r="B565" s="60">
        <f>IF(E565&gt;1/1/2001,B564+1," ")</f>
        <v/>
      </c>
      <c r="C565" s="59">
        <f>IF(B565&lt;&gt;" ",CONCATENATE(A565,B565)," ")</f>
        <v/>
      </c>
      <c r="J565" s="71" t="n"/>
    </row>
    <row r="566">
      <c r="A566" s="62" t="inlineStr">
        <is>
          <t>C</t>
        </is>
      </c>
      <c r="B566" s="60">
        <f>IF(E566&gt;1/1/2001,B565+1," ")</f>
        <v/>
      </c>
      <c r="C566" s="59">
        <f>IF(B566&lt;&gt;" ",CONCATENATE(A566,B566)," ")</f>
        <v/>
      </c>
      <c r="J566" s="71" t="n"/>
    </row>
    <row r="567">
      <c r="A567" s="62" t="inlineStr">
        <is>
          <t>C</t>
        </is>
      </c>
      <c r="B567" s="60">
        <f>IF(E567&gt;1/1/2001,B566+1," ")</f>
        <v/>
      </c>
      <c r="C567" s="59">
        <f>IF(B567&lt;&gt;" ",CONCATENATE(A567,B567)," ")</f>
        <v/>
      </c>
      <c r="J567" s="71" t="n"/>
    </row>
    <row r="568">
      <c r="A568" s="62" t="inlineStr">
        <is>
          <t>C</t>
        </is>
      </c>
      <c r="B568" s="60">
        <f>IF(E568&gt;1/1/2001,B567+1," ")</f>
        <v/>
      </c>
      <c r="C568" s="59">
        <f>IF(B568&lt;&gt;" ",CONCATENATE(A568,B568)," ")</f>
        <v/>
      </c>
      <c r="J568" s="71" t="n"/>
    </row>
    <row r="569">
      <c r="A569" s="62" t="inlineStr">
        <is>
          <t>C</t>
        </is>
      </c>
      <c r="B569" s="60">
        <f>IF(E569&gt;1/1/2001,B568+1," ")</f>
        <v/>
      </c>
      <c r="C569" s="59">
        <f>IF(B569&lt;&gt;" ",CONCATENATE(A569,B569)," ")</f>
        <v/>
      </c>
      <c r="J569" s="71" t="n"/>
    </row>
    <row r="570">
      <c r="A570" s="62" t="inlineStr">
        <is>
          <t>C</t>
        </is>
      </c>
      <c r="B570" s="60">
        <f>IF(E570&gt;1/1/2001,B569+1," ")</f>
        <v/>
      </c>
      <c r="C570" s="59">
        <f>IF(B570&lt;&gt;" ",CONCATENATE(A570,B570)," ")</f>
        <v/>
      </c>
      <c r="J570" s="71" t="n"/>
    </row>
    <row r="571">
      <c r="A571" s="62" t="inlineStr">
        <is>
          <t>C</t>
        </is>
      </c>
      <c r="B571" s="60">
        <f>IF(E571&gt;1/1/2001,B570+1," ")</f>
        <v/>
      </c>
      <c r="C571" s="59">
        <f>IF(B571&lt;&gt;" ",CONCATENATE(A571,B571)," ")</f>
        <v/>
      </c>
      <c r="J571" s="71" t="n"/>
    </row>
    <row r="572">
      <c r="A572" s="62" t="inlineStr">
        <is>
          <t>C</t>
        </is>
      </c>
      <c r="B572" s="60">
        <f>IF(E572&gt;1/1/2001,B571+1," ")</f>
        <v/>
      </c>
      <c r="C572" s="59">
        <f>IF(B572&lt;&gt;" ",CONCATENATE(A572,B572)," ")</f>
        <v/>
      </c>
      <c r="J572" s="71" t="n"/>
    </row>
    <row r="573">
      <c r="A573" s="62" t="inlineStr">
        <is>
          <t>C</t>
        </is>
      </c>
      <c r="B573" s="60">
        <f>IF(E573&gt;1/1/2001,B572+1," ")</f>
        <v/>
      </c>
      <c r="C573" s="59">
        <f>IF(B573&lt;&gt;" ",CONCATENATE(A573,B573)," ")</f>
        <v/>
      </c>
      <c r="J573" s="71" t="n"/>
    </row>
    <row r="574">
      <c r="A574" s="62" t="inlineStr">
        <is>
          <t>C</t>
        </is>
      </c>
      <c r="B574" s="60">
        <f>IF(E574&gt;1/1/2001,B573+1," ")</f>
        <v/>
      </c>
      <c r="C574" s="59">
        <f>IF(B574&lt;&gt;" ",CONCATENATE(A574,B574)," ")</f>
        <v/>
      </c>
      <c r="J574" s="71" t="n"/>
    </row>
    <row r="575">
      <c r="A575" s="62" t="inlineStr">
        <is>
          <t>C</t>
        </is>
      </c>
      <c r="B575" s="60">
        <f>IF(E575&gt;1/1/2001,B574+1," ")</f>
        <v/>
      </c>
      <c r="C575" s="59">
        <f>IF(B575&lt;&gt;" ",CONCATENATE(A575,B575)," ")</f>
        <v/>
      </c>
      <c r="J575" s="71" t="n"/>
    </row>
    <row r="576">
      <c r="A576" s="62" t="inlineStr">
        <is>
          <t>C</t>
        </is>
      </c>
      <c r="B576" s="60">
        <f>IF(E576&gt;1/1/2001,B575+1," ")</f>
        <v/>
      </c>
      <c r="C576" s="59">
        <f>IF(B576&lt;&gt;" ",CONCATENATE(A576,B576)," ")</f>
        <v/>
      </c>
      <c r="J576" s="71" t="n"/>
    </row>
    <row r="577">
      <c r="A577" s="62" t="inlineStr">
        <is>
          <t>C</t>
        </is>
      </c>
      <c r="B577" s="60">
        <f>IF(E577&gt;1/1/2001,B576+1," ")</f>
        <v/>
      </c>
      <c r="C577" s="59">
        <f>IF(B577&lt;&gt;" ",CONCATENATE(A577,B577)," ")</f>
        <v/>
      </c>
      <c r="J577" s="71" t="n"/>
    </row>
    <row r="578">
      <c r="A578" s="62" t="inlineStr">
        <is>
          <t>C</t>
        </is>
      </c>
      <c r="B578" s="60">
        <f>IF(E578&gt;1/1/2001,B577+1," ")</f>
        <v/>
      </c>
      <c r="C578" s="59">
        <f>IF(B578&lt;&gt;" ",CONCATENATE(A578,B578)," ")</f>
        <v/>
      </c>
      <c r="J578" s="71" t="n"/>
    </row>
    <row r="579">
      <c r="A579" s="62" t="inlineStr">
        <is>
          <t>C</t>
        </is>
      </c>
      <c r="B579" s="60">
        <f>IF(E579&gt;1/1/2001,B578+1," ")</f>
        <v/>
      </c>
      <c r="C579" s="59">
        <f>IF(B579&lt;&gt;" ",CONCATENATE(A579,B579)," ")</f>
        <v/>
      </c>
      <c r="J579" s="71" t="n"/>
    </row>
    <row r="580">
      <c r="A580" s="62" t="inlineStr">
        <is>
          <t>C</t>
        </is>
      </c>
      <c r="B580" s="60">
        <f>IF(E580&gt;1/1/2001,B579+1," ")</f>
        <v/>
      </c>
      <c r="C580" s="59">
        <f>IF(B580&lt;&gt;" ",CONCATENATE(A580,B580)," ")</f>
        <v/>
      </c>
      <c r="J580" s="71" t="n"/>
    </row>
    <row r="581">
      <c r="A581" s="62" t="inlineStr">
        <is>
          <t>C</t>
        </is>
      </c>
      <c r="B581" s="60">
        <f>IF(E581&gt;1/1/2001,B580+1," ")</f>
        <v/>
      </c>
      <c r="C581" s="59">
        <f>IF(B581&lt;&gt;" ",CONCATENATE(A581,B581)," ")</f>
        <v/>
      </c>
      <c r="J581" s="71" t="n"/>
    </row>
    <row r="582">
      <c r="A582" s="62" t="inlineStr">
        <is>
          <t>C</t>
        </is>
      </c>
      <c r="B582" s="60">
        <f>IF(E582&gt;1/1/2001,B581+1," ")</f>
        <v/>
      </c>
      <c r="C582" s="59">
        <f>IF(B582&lt;&gt;" ",CONCATENATE(A582,B582)," ")</f>
        <v/>
      </c>
      <c r="J582" s="71" t="n"/>
    </row>
    <row r="583">
      <c r="A583" s="62" t="inlineStr">
        <is>
          <t>C</t>
        </is>
      </c>
      <c r="B583" s="60">
        <f>IF(E583&gt;1/1/2001,B582+1," ")</f>
        <v/>
      </c>
      <c r="C583" s="59">
        <f>IF(B583&lt;&gt;" ",CONCATENATE(A583,B583)," ")</f>
        <v/>
      </c>
      <c r="J583" s="71" t="n"/>
    </row>
    <row r="584">
      <c r="A584" s="62" t="inlineStr">
        <is>
          <t>C</t>
        </is>
      </c>
      <c r="B584" s="60">
        <f>IF(E584&gt;1/1/2001,B583+1," ")</f>
        <v/>
      </c>
      <c r="C584" s="59">
        <f>IF(B584&lt;&gt;" ",CONCATENATE(A584,B584)," ")</f>
        <v/>
      </c>
      <c r="J584" s="71" t="n"/>
    </row>
    <row r="585">
      <c r="A585" s="62" t="inlineStr">
        <is>
          <t>C</t>
        </is>
      </c>
      <c r="B585" s="60">
        <f>IF(E585&gt;1/1/2001,B584+1," ")</f>
        <v/>
      </c>
      <c r="C585" s="59">
        <f>IF(B585&lt;&gt;" ",CONCATENATE(A585,B585)," ")</f>
        <v/>
      </c>
      <c r="J585" s="71" t="n"/>
    </row>
    <row r="586">
      <c r="A586" s="62" t="inlineStr">
        <is>
          <t>C</t>
        </is>
      </c>
      <c r="B586" s="60">
        <f>IF(E586&gt;1/1/2001,B585+1," ")</f>
        <v/>
      </c>
      <c r="C586" s="59">
        <f>IF(B586&lt;&gt;" ",CONCATENATE(A586,B586)," ")</f>
        <v/>
      </c>
      <c r="J586" s="71" t="n"/>
    </row>
    <row r="587">
      <c r="A587" s="62" t="inlineStr">
        <is>
          <t>C</t>
        </is>
      </c>
      <c r="B587" s="60">
        <f>IF(E587&gt;1/1/2001,B586+1," ")</f>
        <v/>
      </c>
      <c r="C587" s="59">
        <f>IF(B587&lt;&gt;" ",CONCATENATE(A587,B587)," ")</f>
        <v/>
      </c>
      <c r="J587" s="71" t="n"/>
    </row>
    <row r="588">
      <c r="A588" s="62" t="inlineStr">
        <is>
          <t>C</t>
        </is>
      </c>
      <c r="B588" s="60">
        <f>IF(E588&gt;1/1/2001,B587+1," ")</f>
        <v/>
      </c>
      <c r="C588" s="59">
        <f>IF(B588&lt;&gt;" ",CONCATENATE(A588,B588)," ")</f>
        <v/>
      </c>
      <c r="J588" s="71" t="n"/>
    </row>
    <row r="589">
      <c r="A589" s="62" t="inlineStr">
        <is>
          <t>C</t>
        </is>
      </c>
      <c r="B589" s="60">
        <f>IF(E589&gt;1/1/2001,B588+1," ")</f>
        <v/>
      </c>
      <c r="C589" s="59">
        <f>IF(B589&lt;&gt;" ",CONCATENATE(A589,B589)," ")</f>
        <v/>
      </c>
      <c r="J589" s="71" t="n"/>
    </row>
    <row r="590">
      <c r="A590" s="62" t="inlineStr">
        <is>
          <t>C</t>
        </is>
      </c>
      <c r="B590" s="60">
        <f>IF(E590&gt;1/1/2001,B589+1," ")</f>
        <v/>
      </c>
      <c r="C590" s="59">
        <f>IF(B590&lt;&gt;" ",CONCATENATE(A590,B590)," ")</f>
        <v/>
      </c>
      <c r="J590" s="71" t="n"/>
    </row>
    <row r="591">
      <c r="A591" s="62" t="inlineStr">
        <is>
          <t>C</t>
        </is>
      </c>
      <c r="B591" s="60">
        <f>IF(E591&gt;1/1/2001,B590+1," ")</f>
        <v/>
      </c>
      <c r="C591" s="59">
        <f>IF(B591&lt;&gt;" ",CONCATENATE(A591,B591)," ")</f>
        <v/>
      </c>
      <c r="J591" s="71" t="n"/>
    </row>
    <row r="592">
      <c r="A592" s="62" t="inlineStr">
        <is>
          <t>C</t>
        </is>
      </c>
      <c r="B592" s="60">
        <f>IF(E592&gt;1/1/2001,B591+1," ")</f>
        <v/>
      </c>
      <c r="C592" s="59">
        <f>IF(B592&lt;&gt;" ",CONCATENATE(A592,B592)," ")</f>
        <v/>
      </c>
      <c r="J592" s="71" t="n"/>
    </row>
    <row r="593">
      <c r="A593" s="62" t="inlineStr">
        <is>
          <t>C</t>
        </is>
      </c>
      <c r="B593" s="60">
        <f>IF(E593&gt;1/1/2001,B592+1," ")</f>
        <v/>
      </c>
      <c r="C593" s="59">
        <f>IF(B593&lt;&gt;" ",CONCATENATE(A593,B593)," ")</f>
        <v/>
      </c>
      <c r="J593" s="71" t="n"/>
    </row>
    <row r="594">
      <c r="A594" s="62" t="inlineStr">
        <is>
          <t>C</t>
        </is>
      </c>
      <c r="B594" s="60">
        <f>IF(E594&gt;1/1/2001,B593+1," ")</f>
        <v/>
      </c>
      <c r="C594" s="59">
        <f>IF(B594&lt;&gt;" ",CONCATENATE(A594,B594)," ")</f>
        <v/>
      </c>
      <c r="J594" s="71" t="n"/>
    </row>
    <row r="595">
      <c r="A595" s="62" t="inlineStr">
        <is>
          <t>C</t>
        </is>
      </c>
      <c r="B595" s="60">
        <f>IF(E595&gt;1/1/2001,B594+1," ")</f>
        <v/>
      </c>
      <c r="C595" s="59">
        <f>IF(B595&lt;&gt;" ",CONCATENATE(A595,B595)," ")</f>
        <v/>
      </c>
      <c r="J595" s="71" t="n"/>
    </row>
    <row r="596">
      <c r="A596" s="62" t="inlineStr">
        <is>
          <t>C</t>
        </is>
      </c>
      <c r="B596" s="60">
        <f>IF(E596&gt;1/1/2001,B595+1," ")</f>
        <v/>
      </c>
      <c r="C596" s="59">
        <f>IF(B596&lt;&gt;" ",CONCATENATE(A596,B596)," ")</f>
        <v/>
      </c>
      <c r="J596" s="71" t="n"/>
    </row>
    <row r="597">
      <c r="A597" s="62" t="inlineStr">
        <is>
          <t>C</t>
        </is>
      </c>
      <c r="B597" s="60">
        <f>IF(E597&gt;1/1/2001,B596+1," ")</f>
        <v/>
      </c>
      <c r="C597" s="59">
        <f>IF(B597&lt;&gt;" ",CONCATENATE(A597,B597)," ")</f>
        <v/>
      </c>
      <c r="J597" s="71" t="n"/>
    </row>
    <row r="598">
      <c r="A598" s="62" t="inlineStr">
        <is>
          <t>C</t>
        </is>
      </c>
      <c r="B598" s="60">
        <f>IF(E598&gt;1/1/2001,B597+1," ")</f>
        <v/>
      </c>
      <c r="C598" s="59">
        <f>IF(B598&lt;&gt;" ",CONCATENATE(A598,B598)," ")</f>
        <v/>
      </c>
      <c r="J598" s="71" t="n"/>
    </row>
    <row r="599">
      <c r="A599" s="62" t="inlineStr">
        <is>
          <t>C</t>
        </is>
      </c>
      <c r="B599" s="60">
        <f>IF(E599&gt;1/1/2001,B598+1," ")</f>
        <v/>
      </c>
      <c r="C599" s="59">
        <f>IF(B599&lt;&gt;" ",CONCATENATE(A599,B599)," ")</f>
        <v/>
      </c>
      <c r="J599" s="71" t="n"/>
    </row>
    <row r="600">
      <c r="A600" s="62" t="inlineStr">
        <is>
          <t>C</t>
        </is>
      </c>
      <c r="B600" s="60">
        <f>IF(E600&gt;1/1/2001,B599+1," ")</f>
        <v/>
      </c>
      <c r="C600" s="59">
        <f>IF(B600&lt;&gt;" ",CONCATENATE(A600,B600)," ")</f>
        <v/>
      </c>
      <c r="J600" s="71" t="n"/>
    </row>
    <row r="601">
      <c r="A601" s="62" t="inlineStr">
        <is>
          <t>C</t>
        </is>
      </c>
      <c r="B601" s="60">
        <f>IF(E601&gt;1/1/2001,B600+1," ")</f>
        <v/>
      </c>
      <c r="C601" s="59">
        <f>IF(B601&lt;&gt;" ",CONCATENATE(A601,B601)," ")</f>
        <v/>
      </c>
      <c r="J601" s="71" t="n"/>
    </row>
    <row r="602">
      <c r="A602" s="62" t="inlineStr">
        <is>
          <t>C</t>
        </is>
      </c>
      <c r="B602" s="60">
        <f>IF(E602&gt;1/1/2001,B601+1," ")</f>
        <v/>
      </c>
      <c r="C602" s="59">
        <f>IF(B602&lt;&gt;" ",CONCATENATE(A602,B602)," ")</f>
        <v/>
      </c>
      <c r="J602" s="71" t="n"/>
    </row>
    <row r="603">
      <c r="A603" s="62" t="inlineStr">
        <is>
          <t>C</t>
        </is>
      </c>
      <c r="B603" s="60">
        <f>IF(E603&gt;1/1/2001,B602+1," ")</f>
        <v/>
      </c>
      <c r="C603" s="59">
        <f>IF(B603&lt;&gt;" ",CONCATENATE(A603,B603)," ")</f>
        <v/>
      </c>
      <c r="J603" s="71" t="n"/>
    </row>
    <row r="604">
      <c r="A604" s="62" t="inlineStr">
        <is>
          <t>C</t>
        </is>
      </c>
      <c r="B604" s="60">
        <f>IF(E604&gt;1/1/2001,B603+1," ")</f>
        <v/>
      </c>
      <c r="C604" s="59">
        <f>IF(B604&lt;&gt;" ",CONCATENATE(A604,B604)," ")</f>
        <v/>
      </c>
      <c r="J604" s="71" t="n"/>
    </row>
    <row r="605">
      <c r="A605" s="62" t="inlineStr">
        <is>
          <t>C</t>
        </is>
      </c>
      <c r="B605" s="60">
        <f>IF(E605&gt;1/1/2001,B604+1," ")</f>
        <v/>
      </c>
      <c r="C605" s="59">
        <f>IF(B605&lt;&gt;" ",CONCATENATE(A605,B605)," ")</f>
        <v/>
      </c>
      <c r="J605" s="71" t="n"/>
    </row>
    <row r="606">
      <c r="A606" s="62" t="inlineStr">
        <is>
          <t>C</t>
        </is>
      </c>
      <c r="B606" s="60">
        <f>IF(E606&gt;1/1/2001,B605+1," ")</f>
        <v/>
      </c>
      <c r="C606" s="59">
        <f>IF(B606&lt;&gt;" ",CONCATENATE(A606,B606)," ")</f>
        <v/>
      </c>
      <c r="J606" s="71" t="n"/>
    </row>
    <row r="607">
      <c r="A607" s="62" t="inlineStr">
        <is>
          <t>C</t>
        </is>
      </c>
      <c r="B607" s="60">
        <f>IF(E607&gt;1/1/2001,B606+1," ")</f>
        <v/>
      </c>
      <c r="C607" s="59">
        <f>IF(B607&lt;&gt;" ",CONCATENATE(A607,B607)," ")</f>
        <v/>
      </c>
      <c r="J607" s="71" t="n"/>
    </row>
    <row r="608">
      <c r="A608" s="62" t="inlineStr">
        <is>
          <t>C</t>
        </is>
      </c>
      <c r="B608" s="60">
        <f>IF(E608&gt;1/1/2001,B607+1," ")</f>
        <v/>
      </c>
      <c r="C608" s="59">
        <f>IF(B608&lt;&gt;" ",CONCATENATE(A608,B608)," ")</f>
        <v/>
      </c>
      <c r="J608" s="71" t="n"/>
    </row>
    <row r="609">
      <c r="A609" s="62" t="inlineStr">
        <is>
          <t>C</t>
        </is>
      </c>
      <c r="B609" s="60">
        <f>IF(E609&gt;1/1/2001,B608+1," ")</f>
        <v/>
      </c>
      <c r="C609" s="59">
        <f>IF(B609&lt;&gt;" ",CONCATENATE(A609,B609)," ")</f>
        <v/>
      </c>
      <c r="J609" s="71" t="n"/>
    </row>
    <row r="610">
      <c r="A610" s="62" t="inlineStr">
        <is>
          <t>C</t>
        </is>
      </c>
      <c r="B610" s="60">
        <f>IF(E610&gt;1/1/2001,B609+1," ")</f>
        <v/>
      </c>
      <c r="C610" s="59">
        <f>IF(B610&lt;&gt;" ",CONCATENATE(A610,B610)," ")</f>
        <v/>
      </c>
      <c r="J610" s="71" t="n"/>
    </row>
    <row r="611">
      <c r="A611" s="62" t="inlineStr">
        <is>
          <t>C</t>
        </is>
      </c>
      <c r="B611" s="60">
        <f>IF(E611&gt;1/1/2001,B610+1," ")</f>
        <v/>
      </c>
      <c r="C611" s="59">
        <f>IF(B611&lt;&gt;" ",CONCATENATE(A611,B611)," ")</f>
        <v/>
      </c>
      <c r="J611" s="71" t="n"/>
    </row>
    <row r="612">
      <c r="A612" s="62" t="inlineStr">
        <is>
          <t>C</t>
        </is>
      </c>
      <c r="B612" s="60">
        <f>IF(E612&gt;1/1/2001,B611+1," ")</f>
        <v/>
      </c>
      <c r="C612" s="59">
        <f>IF(B612&lt;&gt;" ",CONCATENATE(A612,B612)," ")</f>
        <v/>
      </c>
      <c r="J612" s="71" t="n"/>
    </row>
    <row r="613">
      <c r="A613" s="62" t="inlineStr">
        <is>
          <t>C</t>
        </is>
      </c>
      <c r="B613" s="60">
        <f>IF(E613&gt;1/1/2001,B612+1," ")</f>
        <v/>
      </c>
      <c r="C613" s="59">
        <f>IF(B613&lt;&gt;" ",CONCATENATE(A613,B613)," ")</f>
        <v/>
      </c>
      <c r="J613" s="71" t="n"/>
    </row>
    <row r="614">
      <c r="A614" s="62" t="inlineStr">
        <is>
          <t>C</t>
        </is>
      </c>
      <c r="B614" s="60">
        <f>IF(E614&gt;1/1/2001,B613+1," ")</f>
        <v/>
      </c>
      <c r="C614" s="59">
        <f>IF(B614&lt;&gt;" ",CONCATENATE(A614,B614)," ")</f>
        <v/>
      </c>
      <c r="J614" s="71" t="n"/>
    </row>
    <row r="615">
      <c r="A615" s="62" t="inlineStr">
        <is>
          <t>C</t>
        </is>
      </c>
      <c r="B615" s="60">
        <f>IF(E615&gt;1/1/2001,B614+1," ")</f>
        <v/>
      </c>
      <c r="C615" s="59">
        <f>IF(B615&lt;&gt;" ",CONCATENATE(A615,B615)," ")</f>
        <v/>
      </c>
      <c r="J615" s="71" t="n"/>
    </row>
    <row r="616">
      <c r="A616" s="62" t="inlineStr">
        <is>
          <t>C</t>
        </is>
      </c>
      <c r="B616" s="60">
        <f>IF(E616&gt;1/1/2001,B615+1," ")</f>
        <v/>
      </c>
      <c r="C616" s="59">
        <f>IF(B616&lt;&gt;" ",CONCATENATE(A616,B616)," ")</f>
        <v/>
      </c>
      <c r="J616" s="71" t="n"/>
    </row>
    <row r="617">
      <c r="A617" s="62" t="inlineStr">
        <is>
          <t>C</t>
        </is>
      </c>
      <c r="B617" s="60">
        <f>IF(E617&gt;1/1/2001,B616+1," ")</f>
        <v/>
      </c>
      <c r="C617" s="59">
        <f>IF(B617&lt;&gt;" ",CONCATENATE(A617,B617)," ")</f>
        <v/>
      </c>
      <c r="J617" s="71" t="n"/>
    </row>
    <row r="618">
      <c r="A618" s="62" t="inlineStr">
        <is>
          <t>C</t>
        </is>
      </c>
      <c r="B618" s="60">
        <f>IF(E618&gt;1/1/2001,B617+1," ")</f>
        <v/>
      </c>
      <c r="C618" s="59">
        <f>IF(B618&lt;&gt;" ",CONCATENATE(A618,B618)," ")</f>
        <v/>
      </c>
      <c r="J618" s="71" t="n"/>
    </row>
    <row r="619">
      <c r="A619" s="62" t="inlineStr">
        <is>
          <t>C</t>
        </is>
      </c>
      <c r="B619" s="60">
        <f>IF(E619&gt;1/1/2001,B618+1," ")</f>
        <v/>
      </c>
      <c r="C619" s="59">
        <f>IF(B619&lt;&gt;" ",CONCATENATE(A619,B619)," ")</f>
        <v/>
      </c>
      <c r="J619" s="71" t="n"/>
    </row>
    <row r="620">
      <c r="A620" s="62" t="inlineStr">
        <is>
          <t>C</t>
        </is>
      </c>
      <c r="B620" s="60">
        <f>IF(E620&gt;1/1/2001,B619+1," ")</f>
        <v/>
      </c>
      <c r="C620" s="59">
        <f>IF(B620&lt;&gt;" ",CONCATENATE(A620,B620)," ")</f>
        <v/>
      </c>
      <c r="J620" s="71" t="n"/>
    </row>
    <row r="621">
      <c r="A621" s="62" t="inlineStr">
        <is>
          <t>C</t>
        </is>
      </c>
      <c r="B621" s="60">
        <f>IF(E621&gt;1/1/2001,B620+1," ")</f>
        <v/>
      </c>
      <c r="C621" s="59">
        <f>IF(B621&lt;&gt;" ",CONCATENATE(A621,B621)," ")</f>
        <v/>
      </c>
      <c r="J621" s="71" t="n"/>
    </row>
    <row r="622">
      <c r="A622" s="62" t="inlineStr">
        <is>
          <t>C</t>
        </is>
      </c>
      <c r="B622" s="60">
        <f>IF(E622&gt;1/1/2001,B621+1," ")</f>
        <v/>
      </c>
      <c r="C622" s="59">
        <f>IF(B622&lt;&gt;" ",CONCATENATE(A622,B622)," ")</f>
        <v/>
      </c>
      <c r="J622" s="71" t="n"/>
    </row>
    <row r="623">
      <c r="A623" s="62" t="inlineStr">
        <is>
          <t>C</t>
        </is>
      </c>
      <c r="B623" s="60">
        <f>IF(E623&gt;1/1/2001,B622+1," ")</f>
        <v/>
      </c>
      <c r="C623" s="59">
        <f>IF(B623&lt;&gt;" ",CONCATENATE(A623,B623)," ")</f>
        <v/>
      </c>
      <c r="J623" s="71" t="n"/>
    </row>
    <row r="624">
      <c r="A624" s="62" t="inlineStr">
        <is>
          <t>C</t>
        </is>
      </c>
      <c r="B624" s="60">
        <f>IF(E624&gt;1/1/2001,B623+1," ")</f>
        <v/>
      </c>
      <c r="C624" s="59">
        <f>IF(B624&lt;&gt;" ",CONCATENATE(A624,B624)," ")</f>
        <v/>
      </c>
      <c r="J624" s="71" t="n"/>
    </row>
    <row r="625">
      <c r="A625" s="62" t="inlineStr">
        <is>
          <t>C</t>
        </is>
      </c>
      <c r="B625" s="60">
        <f>IF(E625&gt;1/1/2001,B624+1," ")</f>
        <v/>
      </c>
      <c r="C625" s="59">
        <f>IF(B625&lt;&gt;" ",CONCATENATE(A625,B625)," ")</f>
        <v/>
      </c>
      <c r="J625" s="71" t="n"/>
    </row>
    <row r="626">
      <c r="A626" s="62" t="inlineStr">
        <is>
          <t>C</t>
        </is>
      </c>
      <c r="B626" s="60">
        <f>IF(E626&gt;1/1/2001,B625+1," ")</f>
        <v/>
      </c>
      <c r="C626" s="59">
        <f>IF(B626&lt;&gt;" ",CONCATENATE(A626,B626)," ")</f>
        <v/>
      </c>
      <c r="J626" s="71" t="n"/>
    </row>
    <row r="627">
      <c r="A627" s="62" t="inlineStr">
        <is>
          <t>C</t>
        </is>
      </c>
      <c r="B627" s="60">
        <f>IF(E627&gt;1/1/2001,B626+1," ")</f>
        <v/>
      </c>
      <c r="C627" s="59">
        <f>IF(B627&lt;&gt;" ",CONCATENATE(A627,B627)," ")</f>
        <v/>
      </c>
      <c r="J627" s="71" t="n"/>
    </row>
    <row r="628">
      <c r="A628" s="62" t="inlineStr">
        <is>
          <t>C</t>
        </is>
      </c>
      <c r="B628" s="60">
        <f>IF(E628&gt;1/1/2001,B627+1," ")</f>
        <v/>
      </c>
      <c r="C628" s="59">
        <f>IF(B628&lt;&gt;" ",CONCATENATE(A628,B628)," ")</f>
        <v/>
      </c>
      <c r="J628" s="71" t="n"/>
    </row>
    <row r="629">
      <c r="A629" s="62" t="inlineStr">
        <is>
          <t>C</t>
        </is>
      </c>
      <c r="B629" s="60">
        <f>IF(E629&gt;1/1/2001,B628+1," ")</f>
        <v/>
      </c>
      <c r="C629" s="59">
        <f>IF(B629&lt;&gt;" ",CONCATENATE(A629,B629)," ")</f>
        <v/>
      </c>
      <c r="J629" s="71" t="n"/>
    </row>
    <row r="630">
      <c r="A630" s="62" t="inlineStr">
        <is>
          <t>C</t>
        </is>
      </c>
      <c r="B630" s="60">
        <f>IF(E630&gt;1/1/2001,B629+1," ")</f>
        <v/>
      </c>
      <c r="C630" s="59">
        <f>IF(B630&lt;&gt;" ",CONCATENATE(A630,B630)," ")</f>
        <v/>
      </c>
      <c r="J630" s="71" t="n"/>
    </row>
    <row r="631">
      <c r="A631" s="62" t="inlineStr">
        <is>
          <t>C</t>
        </is>
      </c>
      <c r="B631" s="60">
        <f>IF(E631&gt;1/1/2001,B630+1," ")</f>
        <v/>
      </c>
      <c r="C631" s="59">
        <f>IF(B631&lt;&gt;" ",CONCATENATE(A631,B631)," ")</f>
        <v/>
      </c>
      <c r="J631" s="71" t="n"/>
    </row>
    <row r="632">
      <c r="A632" s="62" t="inlineStr">
        <is>
          <t>C</t>
        </is>
      </c>
      <c r="B632" s="60">
        <f>IF(E632&gt;1/1/2001,B631+1," ")</f>
        <v/>
      </c>
      <c r="C632" s="59">
        <f>IF(B632&lt;&gt;" ",CONCATENATE(A632,B632)," ")</f>
        <v/>
      </c>
      <c r="J632" s="71" t="n"/>
    </row>
    <row r="633">
      <c r="A633" s="62" t="inlineStr">
        <is>
          <t>C</t>
        </is>
      </c>
      <c r="B633" s="60">
        <f>IF(E633&gt;1/1/2001,B632+1," ")</f>
        <v/>
      </c>
      <c r="C633" s="59">
        <f>IF(B633&lt;&gt;" ",CONCATENATE(A633,B633)," ")</f>
        <v/>
      </c>
      <c r="J633" s="71" t="n"/>
    </row>
    <row r="634">
      <c r="A634" s="62" t="inlineStr">
        <is>
          <t>C</t>
        </is>
      </c>
      <c r="B634" s="60">
        <f>IF(E634&gt;1/1/2001,B633+1," ")</f>
        <v/>
      </c>
      <c r="C634" s="59">
        <f>IF(B634&lt;&gt;" ",CONCATENATE(A634,B634)," ")</f>
        <v/>
      </c>
      <c r="J634" s="71" t="n"/>
    </row>
    <row r="635">
      <c r="A635" s="62" t="inlineStr">
        <is>
          <t>C</t>
        </is>
      </c>
      <c r="B635" s="60">
        <f>IF(E635&gt;1/1/2001,B634+1," ")</f>
        <v/>
      </c>
      <c r="C635" s="59">
        <f>IF(B635&lt;&gt;" ",CONCATENATE(A635,B635)," ")</f>
        <v/>
      </c>
      <c r="J635" s="71" t="n"/>
    </row>
    <row r="636">
      <c r="A636" s="62" t="inlineStr">
        <is>
          <t>C</t>
        </is>
      </c>
      <c r="B636" s="60">
        <f>IF(E636&gt;1/1/2001,B635+1," ")</f>
        <v/>
      </c>
      <c r="C636" s="59">
        <f>IF(B636&lt;&gt;" ",CONCATENATE(A636,B636)," ")</f>
        <v/>
      </c>
      <c r="J636" s="71" t="n"/>
    </row>
    <row r="637">
      <c r="A637" s="62" t="inlineStr">
        <is>
          <t>C</t>
        </is>
      </c>
      <c r="B637" s="60">
        <f>IF(E637&gt;1/1/2001,B636+1," ")</f>
        <v/>
      </c>
      <c r="C637" s="59">
        <f>IF(B637&lt;&gt;" ",CONCATENATE(A637,B637)," ")</f>
        <v/>
      </c>
      <c r="J637" s="71" t="n"/>
    </row>
    <row r="638">
      <c r="A638" s="62" t="inlineStr">
        <is>
          <t>C</t>
        </is>
      </c>
      <c r="B638" s="60">
        <f>IF(E638&gt;1/1/2001,B637+1," ")</f>
        <v/>
      </c>
      <c r="C638" s="59">
        <f>IF(B638&lt;&gt;" ",CONCATENATE(A638,B638)," ")</f>
        <v/>
      </c>
      <c r="J638" s="71" t="n"/>
    </row>
    <row r="639">
      <c r="A639" s="62" t="inlineStr">
        <is>
          <t>C</t>
        </is>
      </c>
      <c r="B639" s="60">
        <f>IF(E639&gt;1/1/2001,B638+1," ")</f>
        <v/>
      </c>
      <c r="C639" s="59">
        <f>IF(B639&lt;&gt;" ",CONCATENATE(A639,B639)," ")</f>
        <v/>
      </c>
      <c r="J639" s="71" t="n"/>
    </row>
    <row r="640">
      <c r="A640" s="62" t="inlineStr">
        <is>
          <t>C</t>
        </is>
      </c>
      <c r="B640" s="60">
        <f>IF(E640&gt;1/1/2001,B639+1," ")</f>
        <v/>
      </c>
      <c r="C640" s="59">
        <f>IF(B640&lt;&gt;" ",CONCATENATE(A640,B640)," ")</f>
        <v/>
      </c>
      <c r="J640" s="71" t="n"/>
    </row>
    <row r="641">
      <c r="A641" s="62" t="inlineStr">
        <is>
          <t>C</t>
        </is>
      </c>
      <c r="B641" s="60">
        <f>IF(E641&gt;1/1/2001,B640+1," ")</f>
        <v/>
      </c>
      <c r="C641" s="59">
        <f>IF(B641&lt;&gt;" ",CONCATENATE(A641,B641)," ")</f>
        <v/>
      </c>
      <c r="J641" s="71" t="n"/>
    </row>
    <row r="642">
      <c r="A642" s="62" t="inlineStr">
        <is>
          <t>C</t>
        </is>
      </c>
      <c r="B642" s="60">
        <f>IF(E642&gt;1/1/2001,B641+1," ")</f>
        <v/>
      </c>
      <c r="C642" s="59">
        <f>IF(B642&lt;&gt;" ",CONCATENATE(A642,B642)," ")</f>
        <v/>
      </c>
      <c r="J642" s="71" t="n"/>
    </row>
    <row r="643">
      <c r="A643" s="62" t="inlineStr">
        <is>
          <t>C</t>
        </is>
      </c>
      <c r="B643" s="60">
        <f>IF(E643&gt;1/1/2001,B642+1," ")</f>
        <v/>
      </c>
      <c r="C643" s="59">
        <f>IF(B643&lt;&gt;" ",CONCATENATE(A643,B643)," ")</f>
        <v/>
      </c>
      <c r="J643" s="71" t="n"/>
    </row>
    <row r="644">
      <c r="A644" s="62" t="inlineStr">
        <is>
          <t>C</t>
        </is>
      </c>
      <c r="B644" s="60">
        <f>IF(E644&gt;1/1/2001,B643+1," ")</f>
        <v/>
      </c>
      <c r="C644" s="59">
        <f>IF(B644&lt;&gt;" ",CONCATENATE(A644,B644)," ")</f>
        <v/>
      </c>
      <c r="J644" s="71" t="n"/>
    </row>
    <row r="645">
      <c r="A645" s="62" t="inlineStr">
        <is>
          <t>C</t>
        </is>
      </c>
      <c r="B645" s="60">
        <f>IF(E645&gt;1/1/2001,B644+1," ")</f>
        <v/>
      </c>
      <c r="C645" s="59">
        <f>IF(B645&lt;&gt;" ",CONCATENATE(A645,B645)," ")</f>
        <v/>
      </c>
      <c r="J645" s="71" t="n"/>
    </row>
    <row r="646">
      <c r="A646" s="62" t="inlineStr">
        <is>
          <t>C</t>
        </is>
      </c>
      <c r="B646" s="60">
        <f>IF(E646&gt;1/1/2001,B645+1," ")</f>
        <v/>
      </c>
      <c r="C646" s="59">
        <f>IF(B646&lt;&gt;" ",CONCATENATE(A646,B646)," ")</f>
        <v/>
      </c>
      <c r="J646" s="71" t="n"/>
    </row>
    <row r="647">
      <c r="A647" s="62" t="inlineStr">
        <is>
          <t>C</t>
        </is>
      </c>
      <c r="B647" s="60">
        <f>IF(E647&gt;1/1/2001,B646+1," ")</f>
        <v/>
      </c>
      <c r="C647" s="59">
        <f>IF(B647&lt;&gt;" ",CONCATENATE(A647,B647)," ")</f>
        <v/>
      </c>
      <c r="J647" s="71" t="n"/>
    </row>
    <row r="648">
      <c r="A648" s="62" t="inlineStr">
        <is>
          <t>C</t>
        </is>
      </c>
      <c r="B648" s="60">
        <f>IF(E648&gt;1/1/2001,B647+1," ")</f>
        <v/>
      </c>
      <c r="C648" s="59">
        <f>IF(B648&lt;&gt;" ",CONCATENATE(A648,B648)," ")</f>
        <v/>
      </c>
      <c r="J648" s="71" t="n"/>
    </row>
    <row r="649">
      <c r="A649" s="62" t="inlineStr">
        <is>
          <t>C</t>
        </is>
      </c>
      <c r="B649" s="60">
        <f>IF(E649&gt;1/1/2001,B648+1," ")</f>
        <v/>
      </c>
      <c r="C649" s="59">
        <f>IF(B649&lt;&gt;" ",CONCATENATE(A649,B649)," ")</f>
        <v/>
      </c>
      <c r="J649" s="71" t="n"/>
    </row>
    <row r="650">
      <c r="A650" s="62" t="inlineStr">
        <is>
          <t>C</t>
        </is>
      </c>
      <c r="B650" s="60">
        <f>IF(E650&gt;1/1/2001,B649+1," ")</f>
        <v/>
      </c>
      <c r="C650" s="59">
        <f>IF(B650&lt;&gt;" ",CONCATENATE(A650,B650)," ")</f>
        <v/>
      </c>
      <c r="J650" s="71" t="n"/>
    </row>
    <row r="651">
      <c r="A651" s="62" t="inlineStr">
        <is>
          <t>C</t>
        </is>
      </c>
      <c r="B651" s="60">
        <f>IF(E651&gt;1/1/2001,B650+1," ")</f>
        <v/>
      </c>
      <c r="C651" s="59">
        <f>IF(B651&lt;&gt;" ",CONCATENATE(A651,B651)," ")</f>
        <v/>
      </c>
      <c r="J651" s="71" t="n"/>
    </row>
    <row r="652">
      <c r="A652" s="62" t="inlineStr">
        <is>
          <t>C</t>
        </is>
      </c>
      <c r="B652" s="60">
        <f>IF(E652&gt;1/1/2001,B651+1," ")</f>
        <v/>
      </c>
      <c r="C652" s="59">
        <f>IF(B652&lt;&gt;" ",CONCATENATE(A652,B652)," ")</f>
        <v/>
      </c>
      <c r="J652" s="71" t="n"/>
    </row>
    <row r="653">
      <c r="A653" s="62" t="inlineStr">
        <is>
          <t>C</t>
        </is>
      </c>
      <c r="B653" s="60">
        <f>IF(E653&gt;1/1/2001,B652+1," ")</f>
        <v/>
      </c>
      <c r="C653" s="59">
        <f>IF(B653&lt;&gt;" ",CONCATENATE(A653,B653)," ")</f>
        <v/>
      </c>
      <c r="J653" s="71" t="n"/>
    </row>
    <row r="654">
      <c r="A654" s="62" t="inlineStr">
        <is>
          <t>C</t>
        </is>
      </c>
      <c r="B654" s="60">
        <f>IF(E654&gt;1/1/2001,B653+1," ")</f>
        <v/>
      </c>
      <c r="C654" s="59">
        <f>IF(B654&lt;&gt;" ",CONCATENATE(A654,B654)," ")</f>
        <v/>
      </c>
      <c r="J654" s="71" t="n"/>
    </row>
    <row r="655">
      <c r="A655" s="62" t="inlineStr">
        <is>
          <t>C</t>
        </is>
      </c>
      <c r="B655" s="60">
        <f>IF(E655&gt;1/1/2001,B654+1," ")</f>
        <v/>
      </c>
      <c r="C655" s="59">
        <f>IF(B655&lt;&gt;" ",CONCATENATE(A655,B655)," ")</f>
        <v/>
      </c>
      <c r="J655" s="71" t="n"/>
    </row>
    <row r="656">
      <c r="A656" s="62" t="inlineStr">
        <is>
          <t>C</t>
        </is>
      </c>
      <c r="B656" s="60">
        <f>IF(E656&gt;1/1/2001,B655+1," ")</f>
        <v/>
      </c>
      <c r="C656" s="59">
        <f>IF(B656&lt;&gt;" ",CONCATENATE(A656,B656)," ")</f>
        <v/>
      </c>
      <c r="J656" s="71" t="n"/>
    </row>
    <row r="657">
      <c r="A657" s="62" t="inlineStr">
        <is>
          <t>C</t>
        </is>
      </c>
      <c r="B657" s="60">
        <f>IF(E657&gt;1/1/2001,B656+1," ")</f>
        <v/>
      </c>
      <c r="C657" s="59">
        <f>IF(B657&lt;&gt;" ",CONCATENATE(A657,B657)," ")</f>
        <v/>
      </c>
      <c r="J657" s="71" t="n"/>
    </row>
    <row r="658">
      <c r="A658" s="62" t="inlineStr">
        <is>
          <t>C</t>
        </is>
      </c>
      <c r="B658" s="60">
        <f>IF(E658&gt;1/1/2001,B657+1," ")</f>
        <v/>
      </c>
      <c r="C658" s="59">
        <f>IF(B658&lt;&gt;" ",CONCATENATE(A658,B658)," ")</f>
        <v/>
      </c>
      <c r="J658" s="71" t="n"/>
    </row>
    <row r="659">
      <c r="A659" s="62" t="inlineStr">
        <is>
          <t>C</t>
        </is>
      </c>
      <c r="B659" s="60">
        <f>IF(E659&gt;1/1/2001,B658+1," ")</f>
        <v/>
      </c>
      <c r="C659" s="59">
        <f>IF(B659&lt;&gt;" ",CONCATENATE(A659,B659)," ")</f>
        <v/>
      </c>
      <c r="J659" s="71" t="n"/>
    </row>
    <row r="660">
      <c r="A660" s="62" t="inlineStr">
        <is>
          <t>C</t>
        </is>
      </c>
      <c r="B660" s="60">
        <f>IF(E660&gt;1/1/2001,B659+1," ")</f>
        <v/>
      </c>
      <c r="C660" s="59">
        <f>IF(B660&lt;&gt;" ",CONCATENATE(A660,B660)," ")</f>
        <v/>
      </c>
      <c r="J660" s="71" t="n"/>
    </row>
    <row r="661">
      <c r="A661" s="62" t="inlineStr">
        <is>
          <t>C</t>
        </is>
      </c>
      <c r="B661" s="60">
        <f>IF(E661&gt;1/1/2001,B660+1," ")</f>
        <v/>
      </c>
      <c r="C661" s="59">
        <f>IF(B661&lt;&gt;" ",CONCATENATE(A661,B661)," ")</f>
        <v/>
      </c>
      <c r="J661" s="71" t="n"/>
    </row>
    <row r="662">
      <c r="A662" s="62" t="inlineStr">
        <is>
          <t>C</t>
        </is>
      </c>
      <c r="B662" s="60">
        <f>IF(E662&gt;1/1/2001,B661+1," ")</f>
        <v/>
      </c>
      <c r="C662" s="59">
        <f>IF(B662&lt;&gt;" ",CONCATENATE(A662,B662)," ")</f>
        <v/>
      </c>
      <c r="J662" s="71" t="n"/>
    </row>
    <row r="663">
      <c r="A663" s="62" t="inlineStr">
        <is>
          <t>C</t>
        </is>
      </c>
      <c r="B663" s="60">
        <f>IF(E663&gt;1/1/2001,B662+1," ")</f>
        <v/>
      </c>
      <c r="C663" s="59">
        <f>IF(B663&lt;&gt;" ",CONCATENATE(A663,B663)," ")</f>
        <v/>
      </c>
      <c r="J663" s="71" t="n"/>
    </row>
    <row r="664">
      <c r="A664" s="62" t="inlineStr">
        <is>
          <t>C</t>
        </is>
      </c>
      <c r="B664" s="60">
        <f>IF(E664&gt;1/1/2001,B663+1," ")</f>
        <v/>
      </c>
      <c r="C664" s="59">
        <f>IF(B664&lt;&gt;" ",CONCATENATE(A664,B664)," ")</f>
        <v/>
      </c>
      <c r="J664" s="71" t="n"/>
    </row>
    <row r="665">
      <c r="A665" s="62" t="inlineStr">
        <is>
          <t>C</t>
        </is>
      </c>
      <c r="B665" s="60">
        <f>IF(E665&gt;1/1/2001,B664+1," ")</f>
        <v/>
      </c>
      <c r="C665" s="59">
        <f>IF(B665&lt;&gt;" ",CONCATENATE(A665,B665)," ")</f>
        <v/>
      </c>
      <c r="J665" s="71" t="n"/>
    </row>
    <row r="666">
      <c r="A666" s="62" t="inlineStr">
        <is>
          <t>C</t>
        </is>
      </c>
      <c r="B666" s="60">
        <f>IF(E666&gt;1/1/2001,B665+1," ")</f>
        <v/>
      </c>
      <c r="C666" s="59">
        <f>IF(B666&lt;&gt;" ",CONCATENATE(A666,B666)," ")</f>
        <v/>
      </c>
      <c r="J666" s="71" t="n"/>
    </row>
    <row r="667">
      <c r="A667" s="62" t="inlineStr">
        <is>
          <t>C</t>
        </is>
      </c>
      <c r="B667" s="60">
        <f>IF(E667&gt;1/1/2001,B666+1," ")</f>
        <v/>
      </c>
      <c r="C667" s="59">
        <f>IF(B667&lt;&gt;" ",CONCATENATE(A667,B667)," ")</f>
        <v/>
      </c>
      <c r="J667" s="71" t="n"/>
    </row>
    <row r="668">
      <c r="A668" s="62" t="inlineStr">
        <is>
          <t>C</t>
        </is>
      </c>
      <c r="B668" s="60">
        <f>IF(E668&gt;1/1/2001,B667+1," ")</f>
        <v/>
      </c>
      <c r="C668" s="59">
        <f>IF(B668&lt;&gt;" ",CONCATENATE(A668,B668)," ")</f>
        <v/>
      </c>
      <c r="J668" s="71" t="n"/>
    </row>
    <row r="669">
      <c r="A669" s="62" t="inlineStr">
        <is>
          <t>C</t>
        </is>
      </c>
      <c r="B669" s="60">
        <f>IF(E669&gt;1/1/2001,B668+1," ")</f>
        <v/>
      </c>
      <c r="C669" s="59">
        <f>IF(B669&lt;&gt;" ",CONCATENATE(A669,B669)," ")</f>
        <v/>
      </c>
      <c r="J669" s="71" t="n"/>
    </row>
    <row r="670">
      <c r="A670" s="62" t="inlineStr">
        <is>
          <t>C</t>
        </is>
      </c>
      <c r="B670" s="60">
        <f>IF(E670&gt;1/1/2001,B669+1," ")</f>
        <v/>
      </c>
      <c r="C670" s="59">
        <f>IF(B670&lt;&gt;" ",CONCATENATE(A670,B670)," ")</f>
        <v/>
      </c>
      <c r="J670" s="71" t="n"/>
    </row>
    <row r="671">
      <c r="A671" s="62" t="inlineStr">
        <is>
          <t>C</t>
        </is>
      </c>
      <c r="B671" s="60">
        <f>IF(E671&gt;1/1/2001,B670+1," ")</f>
        <v/>
      </c>
      <c r="C671" s="59">
        <f>IF(B671&lt;&gt;" ",CONCATENATE(A671,B671)," ")</f>
        <v/>
      </c>
      <c r="J671" s="71" t="n"/>
    </row>
    <row r="672">
      <c r="A672" s="62" t="inlineStr">
        <is>
          <t>C</t>
        </is>
      </c>
      <c r="B672" s="60">
        <f>IF(E672&gt;1/1/2001,B671+1," ")</f>
        <v/>
      </c>
      <c r="C672" s="59">
        <f>IF(B672&lt;&gt;" ",CONCATENATE(A672,B672)," ")</f>
        <v/>
      </c>
      <c r="J672" s="71" t="n"/>
    </row>
    <row r="673">
      <c r="A673" s="62" t="inlineStr">
        <is>
          <t>C</t>
        </is>
      </c>
      <c r="B673" s="60">
        <f>IF(E673&gt;1/1/2001,B672+1," ")</f>
        <v/>
      </c>
      <c r="C673" s="59">
        <f>IF(B673&lt;&gt;" ",CONCATENATE(A673,B673)," ")</f>
        <v/>
      </c>
      <c r="J673" s="71" t="n"/>
    </row>
    <row r="674">
      <c r="A674" s="62" t="inlineStr">
        <is>
          <t>C</t>
        </is>
      </c>
      <c r="B674" s="60">
        <f>IF(E674&gt;1/1/2001,B673+1," ")</f>
        <v/>
      </c>
      <c r="C674" s="59">
        <f>IF(B674&lt;&gt;" ",CONCATENATE(A674,B674)," ")</f>
        <v/>
      </c>
      <c r="J674" s="71" t="n"/>
    </row>
    <row r="675">
      <c r="A675" s="62" t="inlineStr">
        <is>
          <t>C</t>
        </is>
      </c>
      <c r="B675" s="60">
        <f>IF(E675&gt;1/1/2001,B674+1," ")</f>
        <v/>
      </c>
      <c r="C675" s="59">
        <f>IF(B675&lt;&gt;" ",CONCATENATE(A675,B675)," ")</f>
        <v/>
      </c>
      <c r="J675" s="71" t="n"/>
    </row>
    <row r="676">
      <c r="A676" s="62" t="inlineStr">
        <is>
          <t>C</t>
        </is>
      </c>
      <c r="B676" s="60">
        <f>IF(E676&gt;1/1/2001,B675+1," ")</f>
        <v/>
      </c>
      <c r="C676" s="59">
        <f>IF(B676&lt;&gt;" ",CONCATENATE(A676,B676)," ")</f>
        <v/>
      </c>
      <c r="J676" s="71" t="n"/>
    </row>
    <row r="677">
      <c r="A677" s="62" t="inlineStr">
        <is>
          <t>C</t>
        </is>
      </c>
      <c r="B677" s="60">
        <f>IF(E677&gt;1/1/2001,B676+1," ")</f>
        <v/>
      </c>
      <c r="C677" s="59">
        <f>IF(B677&lt;&gt;" ",CONCATENATE(A677,B677)," ")</f>
        <v/>
      </c>
      <c r="J677" s="71" t="n"/>
    </row>
    <row r="678">
      <c r="A678" s="62" t="inlineStr">
        <is>
          <t>C</t>
        </is>
      </c>
      <c r="B678" s="60">
        <f>IF(E678&gt;1/1/2001,B677+1," ")</f>
        <v/>
      </c>
      <c r="C678" s="59">
        <f>IF(B678&lt;&gt;" ",CONCATENATE(A678,B678)," ")</f>
        <v/>
      </c>
      <c r="J678" s="71" t="n"/>
    </row>
    <row r="679">
      <c r="A679" s="62" t="inlineStr">
        <is>
          <t>C</t>
        </is>
      </c>
      <c r="B679" s="60">
        <f>IF(E679&gt;1/1/2001,B678+1," ")</f>
        <v/>
      </c>
      <c r="C679" s="59">
        <f>IF(B679&lt;&gt;" ",CONCATENATE(A679,B679)," ")</f>
        <v/>
      </c>
      <c r="J679" s="71" t="n"/>
    </row>
    <row r="680">
      <c r="A680" s="62" t="inlineStr">
        <is>
          <t>C</t>
        </is>
      </c>
      <c r="B680" s="60">
        <f>IF(E680&gt;1/1/2001,B679+1," ")</f>
        <v/>
      </c>
      <c r="C680" s="59">
        <f>IF(B680&lt;&gt;" ",CONCATENATE(A680,B680)," ")</f>
        <v/>
      </c>
      <c r="J680" s="71" t="n"/>
    </row>
    <row r="681">
      <c r="A681" s="62" t="inlineStr">
        <is>
          <t>C</t>
        </is>
      </c>
      <c r="B681" s="60">
        <f>IF(E681&gt;1/1/2001,B680+1," ")</f>
        <v/>
      </c>
      <c r="C681" s="59">
        <f>IF(B681&lt;&gt;" ",CONCATENATE(A681,B681)," ")</f>
        <v/>
      </c>
      <c r="J681" s="71" t="n"/>
    </row>
    <row r="682">
      <c r="A682" s="62" t="inlineStr">
        <is>
          <t>C</t>
        </is>
      </c>
      <c r="B682" s="60">
        <f>IF(E682&gt;1/1/2001,B681+1," ")</f>
        <v/>
      </c>
      <c r="C682" s="59">
        <f>IF(B682&lt;&gt;" ",CONCATENATE(A682,B682)," ")</f>
        <v/>
      </c>
      <c r="J682" s="71" t="n"/>
    </row>
    <row r="683">
      <c r="A683" s="62" t="inlineStr">
        <is>
          <t>C</t>
        </is>
      </c>
      <c r="B683" s="60">
        <f>IF(E683&gt;1/1/2001,B682+1," ")</f>
        <v/>
      </c>
      <c r="C683" s="59">
        <f>IF(B683&lt;&gt;" ",CONCATENATE(A683,B683)," ")</f>
        <v/>
      </c>
      <c r="J683" s="71" t="n"/>
    </row>
    <row r="684">
      <c r="A684" s="62" t="inlineStr">
        <is>
          <t>C</t>
        </is>
      </c>
      <c r="B684" s="60">
        <f>IF(E684&gt;1/1/2001,B683+1," ")</f>
        <v/>
      </c>
      <c r="C684" s="59">
        <f>IF(B684&lt;&gt;" ",CONCATENATE(A684,B684)," ")</f>
        <v/>
      </c>
      <c r="J684" s="71" t="n"/>
    </row>
    <row r="685">
      <c r="A685" s="62" t="inlineStr">
        <is>
          <t>C</t>
        </is>
      </c>
      <c r="B685" s="60">
        <f>IF(E685&gt;1/1/2001,B684+1," ")</f>
        <v/>
      </c>
      <c r="C685" s="59">
        <f>IF(B685&lt;&gt;" ",CONCATENATE(A685,B685)," ")</f>
        <v/>
      </c>
      <c r="J685" s="71" t="n"/>
    </row>
    <row r="686">
      <c r="A686" s="62" t="inlineStr">
        <is>
          <t>C</t>
        </is>
      </c>
      <c r="B686" s="60">
        <f>IF(E686&gt;1/1/2001,B685+1," ")</f>
        <v/>
      </c>
      <c r="C686" s="59">
        <f>IF(B686&lt;&gt;" ",CONCATENATE(A686,B686)," ")</f>
        <v/>
      </c>
      <c r="J686" s="71" t="n"/>
    </row>
    <row r="687">
      <c r="A687" s="62" t="inlineStr">
        <is>
          <t>C</t>
        </is>
      </c>
      <c r="B687" s="60">
        <f>IF(E687&gt;1/1/2001,B686+1," ")</f>
        <v/>
      </c>
      <c r="C687" s="59">
        <f>IF(B687&lt;&gt;" ",CONCATENATE(A687,B687)," ")</f>
        <v/>
      </c>
      <c r="J687" s="71" t="n"/>
    </row>
    <row r="688">
      <c r="A688" s="62" t="inlineStr">
        <is>
          <t>C</t>
        </is>
      </c>
      <c r="B688" s="60">
        <f>IF(E688&gt;1/1/2001,B687+1," ")</f>
        <v/>
      </c>
      <c r="C688" s="59">
        <f>IF(B688&lt;&gt;" ",CONCATENATE(A688,B688)," ")</f>
        <v/>
      </c>
      <c r="J688" s="71" t="n"/>
    </row>
    <row r="689">
      <c r="A689" s="62" t="inlineStr">
        <is>
          <t>C</t>
        </is>
      </c>
      <c r="B689" s="60">
        <f>IF(E689&gt;1/1/2001,B688+1," ")</f>
        <v/>
      </c>
      <c r="C689" s="59">
        <f>IF(B689&lt;&gt;" ",CONCATENATE(A689,B689)," ")</f>
        <v/>
      </c>
      <c r="J689" s="71" t="n"/>
    </row>
    <row r="690">
      <c r="A690" s="62" t="inlineStr">
        <is>
          <t>C</t>
        </is>
      </c>
      <c r="B690" s="60">
        <f>IF(E690&gt;1/1/2001,B689+1," ")</f>
        <v/>
      </c>
      <c r="C690" s="59">
        <f>IF(B690&lt;&gt;" ",CONCATENATE(A690,B690)," ")</f>
        <v/>
      </c>
      <c r="J690" s="71" t="n"/>
    </row>
    <row r="691">
      <c r="A691" s="62" t="inlineStr">
        <is>
          <t>C</t>
        </is>
      </c>
      <c r="B691" s="60">
        <f>IF(E691&gt;1/1/2001,B690+1," ")</f>
        <v/>
      </c>
      <c r="C691" s="59">
        <f>IF(B691&lt;&gt;" ",CONCATENATE(A691,B691)," ")</f>
        <v/>
      </c>
      <c r="J691" s="71" t="n"/>
    </row>
    <row r="692">
      <c r="A692" s="62" t="inlineStr">
        <is>
          <t>C</t>
        </is>
      </c>
      <c r="B692" s="60">
        <f>IF(E692&gt;1/1/2001,B691+1," ")</f>
        <v/>
      </c>
      <c r="C692" s="59">
        <f>IF(B692&lt;&gt;" ",CONCATENATE(A692,B692)," ")</f>
        <v/>
      </c>
      <c r="J692" s="71" t="n"/>
    </row>
    <row r="693">
      <c r="A693" s="62" t="inlineStr">
        <is>
          <t>C</t>
        </is>
      </c>
      <c r="B693" s="60">
        <f>IF(E693&gt;1/1/2001,B692+1," ")</f>
        <v/>
      </c>
      <c r="C693" s="59">
        <f>IF(B693&lt;&gt;" ",CONCATENATE(A693,B693)," ")</f>
        <v/>
      </c>
      <c r="J693" s="71" t="n"/>
    </row>
    <row r="694">
      <c r="A694" s="62" t="inlineStr">
        <is>
          <t>C</t>
        </is>
      </c>
      <c r="B694" s="60">
        <f>IF(E694&gt;1/1/2001,B693+1," ")</f>
        <v/>
      </c>
      <c r="C694" s="59">
        <f>IF(B694&lt;&gt;" ",CONCATENATE(A694,B694)," ")</f>
        <v/>
      </c>
      <c r="J694" s="71" t="n"/>
    </row>
    <row r="695">
      <c r="A695" s="62" t="inlineStr">
        <is>
          <t>C</t>
        </is>
      </c>
      <c r="B695" s="60">
        <f>IF(E695&gt;1/1/2001,B694+1," ")</f>
        <v/>
      </c>
      <c r="C695" s="59">
        <f>IF(B695&lt;&gt;" ",CONCATENATE(A695,B695)," ")</f>
        <v/>
      </c>
      <c r="J695" s="71" t="n"/>
    </row>
    <row r="696">
      <c r="A696" s="62" t="inlineStr">
        <is>
          <t>C</t>
        </is>
      </c>
      <c r="B696" s="60">
        <f>IF(E696&gt;1/1/2001,B695+1," ")</f>
        <v/>
      </c>
      <c r="C696" s="59">
        <f>IF(B696&lt;&gt;" ",CONCATENATE(A696,B696)," ")</f>
        <v/>
      </c>
      <c r="J696" s="71" t="n"/>
    </row>
    <row r="697">
      <c r="A697" s="62" t="inlineStr">
        <is>
          <t>C</t>
        </is>
      </c>
      <c r="B697" s="60">
        <f>IF(E697&gt;1/1/2001,B696+1," ")</f>
        <v/>
      </c>
      <c r="C697" s="59">
        <f>IF(B697&lt;&gt;" ",CONCATENATE(A697,B697)," ")</f>
        <v/>
      </c>
      <c r="J697" s="71" t="n"/>
    </row>
    <row r="698">
      <c r="A698" s="62" t="inlineStr">
        <is>
          <t>C</t>
        </is>
      </c>
      <c r="B698" s="60">
        <f>IF(E698&gt;1/1/2001,B697+1," ")</f>
        <v/>
      </c>
      <c r="C698" s="59">
        <f>IF(B698&lt;&gt;" ",CONCATENATE(A698,B698)," ")</f>
        <v/>
      </c>
      <c r="J698" s="71" t="n"/>
    </row>
    <row r="699">
      <c r="A699" s="62" t="inlineStr">
        <is>
          <t>C</t>
        </is>
      </c>
      <c r="B699" s="60">
        <f>IF(E699&gt;1/1/2001,B698+1," ")</f>
        <v/>
      </c>
      <c r="C699" s="59">
        <f>IF(B699&lt;&gt;" ",CONCATENATE(A699,B699)," ")</f>
        <v/>
      </c>
      <c r="J699" s="71" t="n"/>
    </row>
    <row r="700">
      <c r="A700" s="62" t="inlineStr">
        <is>
          <t>C</t>
        </is>
      </c>
      <c r="B700" s="60">
        <f>IF(E700&gt;1/1/2001,B699+1," ")</f>
        <v/>
      </c>
      <c r="C700" s="59">
        <f>IF(B700&lt;&gt;" ",CONCATENATE(A700,B700)," ")</f>
        <v/>
      </c>
      <c r="J700" s="71" t="n"/>
    </row>
    <row r="701">
      <c r="A701" s="62" t="inlineStr">
        <is>
          <t>C</t>
        </is>
      </c>
      <c r="B701" s="60">
        <f>IF(E701&gt;1/1/2001,B700+1," ")</f>
        <v/>
      </c>
      <c r="C701" s="59">
        <f>IF(B701&lt;&gt;" ",CONCATENATE(A701,B701)," ")</f>
        <v/>
      </c>
      <c r="J701" s="71" t="n"/>
    </row>
    <row r="702">
      <c r="A702" s="62" t="inlineStr">
        <is>
          <t>C</t>
        </is>
      </c>
      <c r="B702" s="60">
        <f>IF(E702&gt;1/1/2001,B701+1," ")</f>
        <v/>
      </c>
      <c r="C702" s="59">
        <f>IF(B702&lt;&gt;" ",CONCATENATE(A702,B702)," ")</f>
        <v/>
      </c>
      <c r="J702" s="71" t="n"/>
    </row>
    <row r="703">
      <c r="A703" s="62" t="inlineStr">
        <is>
          <t>C</t>
        </is>
      </c>
      <c r="B703" s="60">
        <f>IF(E703&gt;1/1/2001,B702+1," ")</f>
        <v/>
      </c>
      <c r="C703" s="59">
        <f>IF(B703&lt;&gt;" ",CONCATENATE(A703,B703)," ")</f>
        <v/>
      </c>
      <c r="J703" s="71" t="n"/>
    </row>
    <row r="704">
      <c r="A704" s="62" t="inlineStr">
        <is>
          <t>C</t>
        </is>
      </c>
      <c r="B704" s="60">
        <f>IF(E704&gt;1/1/2001,B703+1," ")</f>
        <v/>
      </c>
      <c r="C704" s="59">
        <f>IF(B704&lt;&gt;" ",CONCATENATE(A704,B704)," ")</f>
        <v/>
      </c>
      <c r="J704" s="71" t="n"/>
    </row>
    <row r="705">
      <c r="A705" s="62" t="inlineStr">
        <is>
          <t>C</t>
        </is>
      </c>
      <c r="B705" s="60">
        <f>IF(E705&gt;1/1/2001,B704+1," ")</f>
        <v/>
      </c>
      <c r="C705" s="59">
        <f>IF(B705&lt;&gt;" ",CONCATENATE(A705,B705)," ")</f>
        <v/>
      </c>
      <c r="J705" s="71" t="n"/>
    </row>
    <row r="706">
      <c r="A706" s="62" t="inlineStr">
        <is>
          <t>C</t>
        </is>
      </c>
      <c r="B706" s="60">
        <f>IF(E706&gt;1/1/2001,B705+1," ")</f>
        <v/>
      </c>
      <c r="C706" s="59">
        <f>IF(B706&lt;&gt;" ",CONCATENATE(A706,B706)," ")</f>
        <v/>
      </c>
      <c r="J706" s="71" t="n"/>
    </row>
    <row r="707">
      <c r="A707" s="62" t="inlineStr">
        <is>
          <t>C</t>
        </is>
      </c>
      <c r="B707" s="60">
        <f>IF(E707&gt;1/1/2001,B706+1," ")</f>
        <v/>
      </c>
      <c r="C707" s="59">
        <f>IF(B707&lt;&gt;" ",CONCATENATE(A707,B707)," ")</f>
        <v/>
      </c>
      <c r="J707" s="71" t="n"/>
    </row>
    <row r="708">
      <c r="A708" s="62" t="inlineStr">
        <is>
          <t>C</t>
        </is>
      </c>
      <c r="B708" s="60">
        <f>IF(E708&gt;1/1/2001,B707+1," ")</f>
        <v/>
      </c>
      <c r="C708" s="59">
        <f>IF(B708&lt;&gt;" ",CONCATENATE(A708,B708)," ")</f>
        <v/>
      </c>
      <c r="J708" s="71" t="n"/>
    </row>
    <row r="709">
      <c r="A709" s="62" t="inlineStr">
        <is>
          <t>C</t>
        </is>
      </c>
      <c r="B709" s="60">
        <f>IF(E709&gt;1/1/2001,B708+1," ")</f>
        <v/>
      </c>
      <c r="C709" s="59">
        <f>IF(B709&lt;&gt;" ",CONCATENATE(A709,B709)," ")</f>
        <v/>
      </c>
      <c r="J709" s="71" t="n"/>
    </row>
    <row r="710">
      <c r="A710" s="62" t="inlineStr">
        <is>
          <t>C</t>
        </is>
      </c>
      <c r="B710" s="60">
        <f>IF(E710&gt;1/1/2001,B709+1," ")</f>
        <v/>
      </c>
      <c r="C710" s="59">
        <f>IF(B710&lt;&gt;" ",CONCATENATE(A710,B710)," ")</f>
        <v/>
      </c>
      <c r="J710" s="71" t="n"/>
    </row>
    <row r="711">
      <c r="A711" s="62" t="inlineStr">
        <is>
          <t>C</t>
        </is>
      </c>
      <c r="B711" s="60">
        <f>IF(E711&gt;1/1/2001,B710+1," ")</f>
        <v/>
      </c>
      <c r="C711" s="59">
        <f>IF(B711&lt;&gt;" ",CONCATENATE(A711,B711)," ")</f>
        <v/>
      </c>
      <c r="J711" s="71" t="n"/>
    </row>
    <row r="712">
      <c r="A712" s="62" t="inlineStr">
        <is>
          <t>C</t>
        </is>
      </c>
      <c r="B712" s="60">
        <f>IF(E712&gt;1/1/2001,B711+1," ")</f>
        <v/>
      </c>
      <c r="C712" s="59">
        <f>IF(B712&lt;&gt;" ",CONCATENATE(A712,B712)," ")</f>
        <v/>
      </c>
      <c r="J712" s="71" t="n"/>
    </row>
    <row r="713">
      <c r="A713" s="62" t="inlineStr">
        <is>
          <t>C</t>
        </is>
      </c>
      <c r="B713" s="60">
        <f>IF(E713&gt;1/1/2001,B712+1," ")</f>
        <v/>
      </c>
      <c r="C713" s="59">
        <f>IF(B713&lt;&gt;" ",CONCATENATE(A713,B713)," ")</f>
        <v/>
      </c>
      <c r="J713" s="71" t="n"/>
    </row>
    <row r="714">
      <c r="A714" s="62" t="inlineStr">
        <is>
          <t>C</t>
        </is>
      </c>
      <c r="B714" s="60">
        <f>IF(E714&gt;1/1/2001,B713+1," ")</f>
        <v/>
      </c>
      <c r="C714" s="59">
        <f>IF(B714&lt;&gt;" ",CONCATENATE(A714,B714)," ")</f>
        <v/>
      </c>
      <c r="J714" s="71" t="n"/>
    </row>
    <row r="715">
      <c r="A715" s="62" t="inlineStr">
        <is>
          <t>C</t>
        </is>
      </c>
      <c r="B715" s="60">
        <f>IF(E715&gt;1/1/2001,B714+1," ")</f>
        <v/>
      </c>
      <c r="C715" s="59">
        <f>IF(B715&lt;&gt;" ",CONCATENATE(A715,B715)," ")</f>
        <v/>
      </c>
      <c r="J715" s="71" t="n"/>
    </row>
    <row r="716">
      <c r="A716" s="62" t="inlineStr">
        <is>
          <t>C</t>
        </is>
      </c>
      <c r="B716" s="60">
        <f>IF(E716&gt;1/1/2001,B715+1," ")</f>
        <v/>
      </c>
      <c r="C716" s="59">
        <f>IF(B716&lt;&gt;" ",CONCATENATE(A716,B716)," ")</f>
        <v/>
      </c>
      <c r="J716" s="71" t="n"/>
    </row>
    <row r="717">
      <c r="A717" s="62" t="inlineStr">
        <is>
          <t>C</t>
        </is>
      </c>
      <c r="B717" s="60">
        <f>IF(E717&gt;1/1/2001,B716+1," ")</f>
        <v/>
      </c>
      <c r="C717" s="59">
        <f>IF(B717&lt;&gt;" ",CONCATENATE(A717,B717)," ")</f>
        <v/>
      </c>
      <c r="J717" s="71" t="n"/>
    </row>
    <row r="718">
      <c r="A718" s="62" t="inlineStr">
        <is>
          <t>C</t>
        </is>
      </c>
      <c r="B718" s="60">
        <f>IF(E718&gt;1/1/2001,B717+1," ")</f>
        <v/>
      </c>
      <c r="C718" s="59">
        <f>IF(B718&lt;&gt;" ",CONCATENATE(A718,B718)," ")</f>
        <v/>
      </c>
      <c r="J718" s="71" t="n"/>
    </row>
    <row r="719">
      <c r="A719" s="62" t="inlineStr">
        <is>
          <t>C</t>
        </is>
      </c>
      <c r="B719" s="60">
        <f>IF(E719&gt;1/1/2001,B718+1," ")</f>
        <v/>
      </c>
      <c r="C719" s="59">
        <f>IF(B719&lt;&gt;" ",CONCATENATE(A719,B719)," ")</f>
        <v/>
      </c>
      <c r="J719" s="71" t="n"/>
    </row>
    <row r="720">
      <c r="A720" s="62" t="inlineStr">
        <is>
          <t>C</t>
        </is>
      </c>
      <c r="B720" s="60">
        <f>IF(E720&gt;1/1/2001,B719+1," ")</f>
        <v/>
      </c>
      <c r="C720" s="59">
        <f>IF(B720&lt;&gt;" ",CONCATENATE(A720,B720)," ")</f>
        <v/>
      </c>
      <c r="J720" s="71" t="n"/>
    </row>
    <row r="721">
      <c r="A721" s="62" t="inlineStr">
        <is>
          <t>C</t>
        </is>
      </c>
      <c r="B721" s="60">
        <f>IF(E721&gt;1/1/2001,B720+1," ")</f>
        <v/>
      </c>
      <c r="C721" s="59">
        <f>IF(B721&lt;&gt;" ",CONCATENATE(A721,B721)," ")</f>
        <v/>
      </c>
      <c r="J721" s="71" t="n"/>
    </row>
    <row r="722">
      <c r="A722" s="62" t="inlineStr">
        <is>
          <t>C</t>
        </is>
      </c>
      <c r="B722" s="60">
        <f>IF(E722&gt;1/1/2001,B721+1," ")</f>
        <v/>
      </c>
      <c r="C722" s="59">
        <f>IF(B722&lt;&gt;" ",CONCATENATE(A722,B722)," ")</f>
        <v/>
      </c>
      <c r="J722" s="71" t="n"/>
    </row>
    <row r="723">
      <c r="A723" s="62" t="inlineStr">
        <is>
          <t>C</t>
        </is>
      </c>
      <c r="B723" s="60">
        <f>IF(E723&gt;1/1/2001,B722+1," ")</f>
        <v/>
      </c>
      <c r="C723" s="59">
        <f>IF(B723&lt;&gt;" ",CONCATENATE(A723,B723)," ")</f>
        <v/>
      </c>
      <c r="J723" s="71" t="n"/>
    </row>
    <row r="724">
      <c r="A724" s="62" t="inlineStr">
        <is>
          <t>C</t>
        </is>
      </c>
      <c r="B724" s="60">
        <f>IF(E724&gt;1/1/2001,B723+1," ")</f>
        <v/>
      </c>
      <c r="C724" s="59">
        <f>IF(B724&lt;&gt;" ",CONCATENATE(A724,B724)," ")</f>
        <v/>
      </c>
      <c r="J724" s="71" t="n"/>
    </row>
    <row r="725">
      <c r="A725" s="62" t="inlineStr">
        <is>
          <t>C</t>
        </is>
      </c>
      <c r="B725" s="60">
        <f>IF(E725&gt;1/1/2001,B724+1," ")</f>
        <v/>
      </c>
      <c r="C725" s="59">
        <f>IF(B725&lt;&gt;" ",CONCATENATE(A725,B725)," ")</f>
        <v/>
      </c>
      <c r="J725" s="71" t="n"/>
    </row>
    <row r="726">
      <c r="A726" s="62" t="inlineStr">
        <is>
          <t>C</t>
        </is>
      </c>
      <c r="B726" s="60">
        <f>IF(E726&gt;1/1/2001,B725+1," ")</f>
        <v/>
      </c>
      <c r="C726" s="59">
        <f>IF(B726&lt;&gt;" ",CONCATENATE(A726,B726)," ")</f>
        <v/>
      </c>
      <c r="J726" s="71" t="n"/>
    </row>
    <row r="727">
      <c r="A727" s="62" t="inlineStr">
        <is>
          <t>C</t>
        </is>
      </c>
      <c r="B727" s="60">
        <f>IF(E727&gt;1/1/2001,B726+1," ")</f>
        <v/>
      </c>
      <c r="C727" s="59">
        <f>IF(B727&lt;&gt;" ",CONCATENATE(A727,B727)," ")</f>
        <v/>
      </c>
      <c r="J727" s="71" t="n"/>
    </row>
    <row r="728">
      <c r="A728" s="62" t="inlineStr">
        <is>
          <t>C</t>
        </is>
      </c>
      <c r="B728" s="60">
        <f>IF(E728&gt;1/1/2001,B727+1," ")</f>
        <v/>
      </c>
      <c r="C728" s="59">
        <f>IF(B728&lt;&gt;" ",CONCATENATE(A728,B728)," ")</f>
        <v/>
      </c>
      <c r="J728" s="71" t="n"/>
    </row>
    <row r="729">
      <c r="A729" s="62" t="inlineStr">
        <is>
          <t>C</t>
        </is>
      </c>
      <c r="B729" s="60">
        <f>IF(E729&gt;1/1/2001,B728+1," ")</f>
        <v/>
      </c>
      <c r="C729" s="59">
        <f>IF(B729&lt;&gt;" ",CONCATENATE(A729,B729)," ")</f>
        <v/>
      </c>
      <c r="J729" s="71" t="n"/>
    </row>
    <row r="730">
      <c r="A730" s="62" t="inlineStr">
        <is>
          <t>C</t>
        </is>
      </c>
      <c r="B730" s="60">
        <f>IF(E730&gt;1/1/2001,B729+1," ")</f>
        <v/>
      </c>
      <c r="C730" s="59">
        <f>IF(B730&lt;&gt;" ",CONCATENATE(A730,B730)," ")</f>
        <v/>
      </c>
      <c r="J730" s="71" t="n"/>
    </row>
    <row r="731">
      <c r="A731" s="62" t="inlineStr">
        <is>
          <t>C</t>
        </is>
      </c>
      <c r="B731" s="60">
        <f>IF(E731&gt;1/1/2001,B730+1," ")</f>
        <v/>
      </c>
      <c r="C731" s="59">
        <f>IF(B731&lt;&gt;" ",CONCATENATE(A731,B731)," ")</f>
        <v/>
      </c>
      <c r="J731" s="71" t="n"/>
    </row>
    <row r="732">
      <c r="A732" s="62" t="inlineStr">
        <is>
          <t>C</t>
        </is>
      </c>
      <c r="B732" s="60">
        <f>IF(E732&gt;1/1/2001,B731+1," ")</f>
        <v/>
      </c>
      <c r="C732" s="59">
        <f>IF(B732&lt;&gt;" ",CONCATENATE(A732,B732)," ")</f>
        <v/>
      </c>
      <c r="J732" s="71" t="n"/>
    </row>
    <row r="733">
      <c r="A733" s="62" t="inlineStr">
        <is>
          <t>C</t>
        </is>
      </c>
      <c r="B733" s="60">
        <f>IF(E733&gt;1/1/2001,B732+1," ")</f>
        <v/>
      </c>
      <c r="C733" s="59">
        <f>IF(B733&lt;&gt;" ",CONCATENATE(A733,B733)," ")</f>
        <v/>
      </c>
      <c r="J733" s="71" t="n"/>
    </row>
    <row r="734">
      <c r="A734" s="62" t="inlineStr">
        <is>
          <t>C</t>
        </is>
      </c>
      <c r="B734" s="60">
        <f>IF(E734&gt;1/1/2001,B733+1," ")</f>
        <v/>
      </c>
      <c r="C734" s="59">
        <f>IF(B734&lt;&gt;" ",CONCATENATE(A734,B734)," ")</f>
        <v/>
      </c>
      <c r="J734" s="71" t="n"/>
    </row>
    <row r="735">
      <c r="A735" s="62" t="inlineStr">
        <is>
          <t>C</t>
        </is>
      </c>
      <c r="B735" s="60">
        <f>IF(E735&gt;1/1/2001,B734+1," ")</f>
        <v/>
      </c>
      <c r="C735" s="59">
        <f>IF(B735&lt;&gt;" ",CONCATENATE(A735,B735)," ")</f>
        <v/>
      </c>
      <c r="J735" s="71" t="n"/>
    </row>
    <row r="736">
      <c r="A736" s="62" t="inlineStr">
        <is>
          <t>C</t>
        </is>
      </c>
      <c r="B736" s="60">
        <f>IF(E736&gt;1/1/2001,B735+1," ")</f>
        <v/>
      </c>
      <c r="C736" s="59">
        <f>IF(B736&lt;&gt;" ",CONCATENATE(A736,B736)," ")</f>
        <v/>
      </c>
      <c r="J736" s="71" t="n"/>
    </row>
    <row r="737">
      <c r="A737" s="62" t="inlineStr">
        <is>
          <t>C</t>
        </is>
      </c>
      <c r="B737" s="60">
        <f>IF(E737&gt;1/1/2001,B736+1," ")</f>
        <v/>
      </c>
      <c r="C737" s="59">
        <f>IF(B737&lt;&gt;" ",CONCATENATE(A737,B737)," ")</f>
        <v/>
      </c>
      <c r="J737" s="71" t="n"/>
    </row>
    <row r="738">
      <c r="A738" s="62" t="inlineStr">
        <is>
          <t>C</t>
        </is>
      </c>
      <c r="B738" s="60">
        <f>IF(E738&gt;1/1/2001,B737+1," ")</f>
        <v/>
      </c>
      <c r="C738" s="59">
        <f>IF(B738&lt;&gt;" ",CONCATENATE(A738,B738)," ")</f>
        <v/>
      </c>
      <c r="J738" s="71" t="n"/>
    </row>
    <row r="739">
      <c r="A739" s="62" t="inlineStr">
        <is>
          <t>C</t>
        </is>
      </c>
      <c r="B739" s="60">
        <f>IF(E739&gt;1/1/2001,B738+1," ")</f>
        <v/>
      </c>
      <c r="C739" s="59">
        <f>IF(B739&lt;&gt;" ",CONCATENATE(A739,B739)," ")</f>
        <v/>
      </c>
      <c r="J739" s="71" t="n"/>
    </row>
    <row r="740">
      <c r="A740" s="62" t="inlineStr">
        <is>
          <t>C</t>
        </is>
      </c>
      <c r="B740" s="60">
        <f>IF(E740&gt;1/1/2001,B739+1," ")</f>
        <v/>
      </c>
      <c r="C740" s="59">
        <f>IF(B740&lt;&gt;" ",CONCATENATE(A740,B740)," ")</f>
        <v/>
      </c>
      <c r="J740" s="71" t="n"/>
    </row>
    <row r="741">
      <c r="A741" s="62" t="inlineStr">
        <is>
          <t>C</t>
        </is>
      </c>
      <c r="B741" s="60">
        <f>IF(E741&gt;1/1/2001,B740+1," ")</f>
        <v/>
      </c>
      <c r="C741" s="59">
        <f>IF(B741&lt;&gt;" ",CONCATENATE(A741,B741)," ")</f>
        <v/>
      </c>
      <c r="J741" s="71" t="n"/>
    </row>
    <row r="742">
      <c r="A742" s="62" t="inlineStr">
        <is>
          <t>C</t>
        </is>
      </c>
      <c r="B742" s="60">
        <f>IF(E742&gt;1/1/2001,B741+1," ")</f>
        <v/>
      </c>
      <c r="C742" s="59">
        <f>IF(B742&lt;&gt;" ",CONCATENATE(A742,B742)," ")</f>
        <v/>
      </c>
      <c r="J742" s="71" t="n"/>
    </row>
    <row r="743">
      <c r="A743" s="62" t="inlineStr">
        <is>
          <t>C</t>
        </is>
      </c>
      <c r="B743" s="60">
        <f>IF(E743&gt;1/1/2001,B742+1," ")</f>
        <v/>
      </c>
      <c r="C743" s="59">
        <f>IF(B743&lt;&gt;" ",CONCATENATE(A743,B743)," ")</f>
        <v/>
      </c>
      <c r="J743" s="71" t="n"/>
    </row>
    <row r="744">
      <c r="A744" s="62" t="inlineStr">
        <is>
          <t>C</t>
        </is>
      </c>
      <c r="B744" s="60">
        <f>IF(E744&gt;1/1/2001,B743+1," ")</f>
        <v/>
      </c>
      <c r="C744" s="59">
        <f>IF(B744&lt;&gt;" ",CONCATENATE(A744,B744)," ")</f>
        <v/>
      </c>
      <c r="J744" s="71" t="n"/>
    </row>
    <row r="745">
      <c r="A745" s="62" t="inlineStr">
        <is>
          <t>C</t>
        </is>
      </c>
      <c r="B745" s="60">
        <f>IF(E745&gt;1/1/2001,B744+1," ")</f>
        <v/>
      </c>
      <c r="C745" s="59">
        <f>IF(B745&lt;&gt;" ",CONCATENATE(A745,B745)," ")</f>
        <v/>
      </c>
      <c r="J745" s="71" t="n"/>
    </row>
    <row r="746">
      <c r="A746" s="62" t="inlineStr">
        <is>
          <t>C</t>
        </is>
      </c>
      <c r="B746" s="60">
        <f>IF(E746&gt;1/1/2001,B745+1," ")</f>
        <v/>
      </c>
      <c r="C746" s="59">
        <f>IF(B746&lt;&gt;" ",CONCATENATE(A746,B746)," ")</f>
        <v/>
      </c>
      <c r="J746" s="71" t="n"/>
    </row>
    <row r="747">
      <c r="A747" s="62" t="inlineStr">
        <is>
          <t>C</t>
        </is>
      </c>
      <c r="B747" s="60">
        <f>IF(E747&gt;1/1/2001,B746+1," ")</f>
        <v/>
      </c>
      <c r="C747" s="59">
        <f>IF(B747&lt;&gt;" ",CONCATENATE(A747,B747)," ")</f>
        <v/>
      </c>
      <c r="J747" s="71" t="n"/>
    </row>
    <row r="748">
      <c r="A748" s="62" t="inlineStr">
        <is>
          <t>C</t>
        </is>
      </c>
      <c r="B748" s="60">
        <f>IF(E748&gt;1/1/2001,B747+1," ")</f>
        <v/>
      </c>
      <c r="C748" s="59">
        <f>IF(B748&lt;&gt;" ",CONCATENATE(A748,B748)," ")</f>
        <v/>
      </c>
      <c r="J748" s="71" t="n"/>
    </row>
    <row r="749">
      <c r="A749" s="62" t="inlineStr">
        <is>
          <t>C</t>
        </is>
      </c>
      <c r="B749" s="60">
        <f>IF(E749&gt;1/1/2001,B748+1," ")</f>
        <v/>
      </c>
      <c r="C749" s="59">
        <f>IF(B749&lt;&gt;" ",CONCATENATE(A749,B749)," ")</f>
        <v/>
      </c>
      <c r="J749" s="71" t="n"/>
    </row>
    <row r="750">
      <c r="A750" s="62" t="inlineStr">
        <is>
          <t>C</t>
        </is>
      </c>
      <c r="B750" s="60">
        <f>IF(E750&gt;1/1/2001,B749+1," ")</f>
        <v/>
      </c>
      <c r="C750" s="59">
        <f>IF(B750&lt;&gt;" ",CONCATENATE(A750,B750)," ")</f>
        <v/>
      </c>
      <c r="J750" s="71" t="n"/>
    </row>
    <row r="751">
      <c r="A751" s="62" t="inlineStr">
        <is>
          <t>C</t>
        </is>
      </c>
      <c r="B751" s="60">
        <f>IF(E751&gt;1/1/2001,B750+1," ")</f>
        <v/>
      </c>
      <c r="C751" s="59">
        <f>IF(B751&lt;&gt;" ",CONCATENATE(A751,B751)," ")</f>
        <v/>
      </c>
      <c r="J751" s="71" t="n"/>
    </row>
    <row r="752">
      <c r="A752" s="62" t="inlineStr">
        <is>
          <t>C</t>
        </is>
      </c>
      <c r="B752" s="60">
        <f>IF(E752&gt;1/1/2001,B751+1," ")</f>
        <v/>
      </c>
      <c r="C752" s="59">
        <f>IF(B752&lt;&gt;" ",CONCATENATE(A752,B752)," ")</f>
        <v/>
      </c>
      <c r="J752" s="71" t="n"/>
    </row>
    <row r="753">
      <c r="A753" s="62" t="inlineStr">
        <is>
          <t>C</t>
        </is>
      </c>
      <c r="B753" s="60">
        <f>IF(E753&gt;1/1/2001,B752+1," ")</f>
        <v/>
      </c>
      <c r="C753" s="59">
        <f>IF(B753&lt;&gt;" ",CONCATENATE(A753,B753)," ")</f>
        <v/>
      </c>
      <c r="J753" s="71" t="n"/>
    </row>
    <row r="754">
      <c r="A754" s="62" t="inlineStr">
        <is>
          <t>C</t>
        </is>
      </c>
      <c r="B754" s="60">
        <f>IF(E754&gt;1/1/2001,B753+1," ")</f>
        <v/>
      </c>
      <c r="C754" s="59">
        <f>IF(B754&lt;&gt;" ",CONCATENATE(A754,B754)," ")</f>
        <v/>
      </c>
      <c r="J754" s="71" t="n"/>
    </row>
    <row r="755">
      <c r="A755" s="62" t="inlineStr">
        <is>
          <t>C</t>
        </is>
      </c>
      <c r="B755" s="60">
        <f>IF(E755&gt;1/1/2001,B754+1," ")</f>
        <v/>
      </c>
      <c r="C755" s="59">
        <f>IF(B755&lt;&gt;" ",CONCATENATE(A755,B755)," ")</f>
        <v/>
      </c>
      <c r="J755" s="71" t="n"/>
    </row>
    <row r="756">
      <c r="A756" s="62" t="inlineStr">
        <is>
          <t>C</t>
        </is>
      </c>
      <c r="B756" s="60">
        <f>IF(E756&gt;1/1/2001,B755+1," ")</f>
        <v/>
      </c>
      <c r="C756" s="59">
        <f>IF(B756&lt;&gt;" ",CONCATENATE(A756,B756)," ")</f>
        <v/>
      </c>
      <c r="J756" s="71" t="n"/>
    </row>
    <row r="757">
      <c r="A757" s="62" t="inlineStr">
        <is>
          <t>C</t>
        </is>
      </c>
      <c r="B757" s="60">
        <f>IF(E757&gt;1/1/2001,B756+1," ")</f>
        <v/>
      </c>
      <c r="C757" s="59">
        <f>IF(B757&lt;&gt;" ",CONCATENATE(A757,B757)," ")</f>
        <v/>
      </c>
      <c r="J757" s="71" t="n"/>
    </row>
    <row r="758">
      <c r="A758" s="62" t="inlineStr">
        <is>
          <t>C</t>
        </is>
      </c>
      <c r="B758" s="60">
        <f>IF(E758&gt;1/1/2001,B757+1," ")</f>
        <v/>
      </c>
      <c r="C758" s="59">
        <f>IF(B758&lt;&gt;" ",CONCATENATE(A758,B758)," ")</f>
        <v/>
      </c>
      <c r="J758" s="71" t="n"/>
    </row>
    <row r="759">
      <c r="A759" s="62" t="inlineStr">
        <is>
          <t>C</t>
        </is>
      </c>
      <c r="B759" s="60">
        <f>IF(E759&gt;1/1/2001,B758+1," ")</f>
        <v/>
      </c>
      <c r="C759" s="59">
        <f>IF(B759&lt;&gt;" ",CONCATENATE(A759,B759)," ")</f>
        <v/>
      </c>
      <c r="J759" s="71" t="n"/>
    </row>
    <row r="760">
      <c r="A760" s="62" t="inlineStr">
        <is>
          <t>C</t>
        </is>
      </c>
      <c r="B760" s="60">
        <f>IF(E760&gt;1/1/2001,B759+1," ")</f>
        <v/>
      </c>
      <c r="C760" s="59">
        <f>IF(B760&lt;&gt;" ",CONCATENATE(A760,B760)," ")</f>
        <v/>
      </c>
      <c r="J760" s="71" t="n"/>
    </row>
    <row r="761">
      <c r="A761" s="62" t="inlineStr">
        <is>
          <t>C</t>
        </is>
      </c>
      <c r="B761" s="60">
        <f>IF(E761&gt;1/1/2001,B760+1," ")</f>
        <v/>
      </c>
      <c r="C761" s="59">
        <f>IF(B761&lt;&gt;" ",CONCATENATE(A761,B761)," ")</f>
        <v/>
      </c>
      <c r="J761" s="71" t="n"/>
    </row>
    <row r="762">
      <c r="A762" s="62" t="inlineStr">
        <is>
          <t>C</t>
        </is>
      </c>
      <c r="B762" s="60">
        <f>IF(E762&gt;1/1/2001,B761+1," ")</f>
        <v/>
      </c>
      <c r="C762" s="59">
        <f>IF(B762&lt;&gt;" ",CONCATENATE(A762,B762)," ")</f>
        <v/>
      </c>
      <c r="J762" s="71" t="n"/>
    </row>
    <row r="763">
      <c r="A763" s="62" t="inlineStr">
        <is>
          <t>C</t>
        </is>
      </c>
      <c r="B763" s="60">
        <f>IF(E763&gt;1/1/2001,B762+1," ")</f>
        <v/>
      </c>
      <c r="C763" s="59">
        <f>IF(B763&lt;&gt;" ",CONCATENATE(A763,B763)," ")</f>
        <v/>
      </c>
      <c r="J763" s="71" t="n"/>
    </row>
    <row r="764">
      <c r="A764" s="62" t="inlineStr">
        <is>
          <t>C</t>
        </is>
      </c>
      <c r="B764" s="60">
        <f>IF(E764&gt;1/1/2001,B763+1," ")</f>
        <v/>
      </c>
      <c r="C764" s="59">
        <f>IF(B764&lt;&gt;" ",CONCATENATE(A764,B764)," ")</f>
        <v/>
      </c>
      <c r="J764" s="71" t="n"/>
    </row>
    <row r="765">
      <c r="A765" s="62" t="inlineStr">
        <is>
          <t>C</t>
        </is>
      </c>
      <c r="B765" s="60">
        <f>IF(E765&gt;1/1/2001,B764+1," ")</f>
        <v/>
      </c>
      <c r="C765" s="59">
        <f>IF(B765&lt;&gt;" ",CONCATENATE(A765,B765)," ")</f>
        <v/>
      </c>
      <c r="J765" s="71" t="n"/>
    </row>
    <row r="766">
      <c r="A766" s="62" t="inlineStr">
        <is>
          <t>C</t>
        </is>
      </c>
      <c r="B766" s="60">
        <f>IF(E766&gt;1/1/2001,B765+1," ")</f>
        <v/>
      </c>
      <c r="C766" s="59">
        <f>IF(B766&lt;&gt;" ",CONCATENATE(A766,B766)," ")</f>
        <v/>
      </c>
      <c r="J766" s="71" t="n"/>
    </row>
    <row r="767">
      <c r="A767" s="62" t="inlineStr">
        <is>
          <t>C</t>
        </is>
      </c>
      <c r="B767" s="60">
        <f>IF(E767&gt;1/1/2001,B766+1," ")</f>
        <v/>
      </c>
      <c r="C767" s="59">
        <f>IF(B767&lt;&gt;" ",CONCATENATE(A767,B767)," ")</f>
        <v/>
      </c>
      <c r="J767" s="71" t="n"/>
    </row>
    <row r="768">
      <c r="A768" s="62" t="inlineStr">
        <is>
          <t>C</t>
        </is>
      </c>
      <c r="B768" s="60">
        <f>IF(E768&gt;1/1/2001,B767+1," ")</f>
        <v/>
      </c>
      <c r="C768" s="59">
        <f>IF(B768&lt;&gt;" ",CONCATENATE(A768,B768)," ")</f>
        <v/>
      </c>
      <c r="J768" s="71" t="n"/>
    </row>
    <row r="769">
      <c r="A769" s="62" t="inlineStr">
        <is>
          <t>C</t>
        </is>
      </c>
      <c r="B769" s="60">
        <f>IF(E769&gt;1/1/2001,B768+1," ")</f>
        <v/>
      </c>
      <c r="C769" s="59">
        <f>IF(B769&lt;&gt;" ",CONCATENATE(A769,B769)," ")</f>
        <v/>
      </c>
      <c r="J769" s="71" t="n"/>
    </row>
    <row r="770">
      <c r="A770" s="62" t="inlineStr">
        <is>
          <t>C</t>
        </is>
      </c>
      <c r="B770" s="60">
        <f>IF(E770&gt;1/1/2001,B769+1," ")</f>
        <v/>
      </c>
      <c r="C770" s="59">
        <f>IF(B770&lt;&gt;" ",CONCATENATE(A770,B770)," ")</f>
        <v/>
      </c>
      <c r="J770" s="71" t="n"/>
    </row>
    <row r="771">
      <c r="A771" s="62" t="inlineStr">
        <is>
          <t>C</t>
        </is>
      </c>
      <c r="B771" s="60">
        <f>IF(E771&gt;1/1/2001,B770+1," ")</f>
        <v/>
      </c>
      <c r="C771" s="59">
        <f>IF(B771&lt;&gt;" ",CONCATENATE(A771,B771)," ")</f>
        <v/>
      </c>
      <c r="J771" s="71" t="n"/>
    </row>
    <row r="772">
      <c r="A772" s="62" t="inlineStr">
        <is>
          <t>C</t>
        </is>
      </c>
      <c r="B772" s="60">
        <f>IF(E772&gt;1/1/2001,B771+1," ")</f>
        <v/>
      </c>
      <c r="C772" s="59">
        <f>IF(B772&lt;&gt;" ",CONCATENATE(A772,B772)," ")</f>
        <v/>
      </c>
      <c r="J772" s="71" t="n"/>
    </row>
    <row r="773">
      <c r="A773" s="62" t="inlineStr">
        <is>
          <t>C</t>
        </is>
      </c>
      <c r="B773" s="60">
        <f>IF(E773&gt;1/1/2001,B772+1," ")</f>
        <v/>
      </c>
      <c r="C773" s="59">
        <f>IF(B773&lt;&gt;" ",CONCATENATE(A773,B773)," ")</f>
        <v/>
      </c>
      <c r="J773" s="71" t="n"/>
    </row>
    <row r="774">
      <c r="A774" s="62" t="inlineStr">
        <is>
          <t>C</t>
        </is>
      </c>
      <c r="B774" s="60">
        <f>IF(E774&gt;1/1/2001,B773+1," ")</f>
        <v/>
      </c>
      <c r="C774" s="59">
        <f>IF(B774&lt;&gt;" ",CONCATENATE(A774,B774)," ")</f>
        <v/>
      </c>
      <c r="J774" s="71" t="n"/>
    </row>
    <row r="775">
      <c r="A775" s="62" t="inlineStr">
        <is>
          <t>C</t>
        </is>
      </c>
      <c r="B775" s="60">
        <f>IF(E775&gt;1/1/2001,B774+1," ")</f>
        <v/>
      </c>
      <c r="C775" s="59">
        <f>IF(B775&lt;&gt;" ",CONCATENATE(A775,B775)," ")</f>
        <v/>
      </c>
      <c r="J775" s="71" t="n"/>
    </row>
    <row r="776">
      <c r="A776" s="62" t="inlineStr">
        <is>
          <t>C</t>
        </is>
      </c>
      <c r="B776" s="60">
        <f>IF(E776&gt;1/1/2001,B775+1," ")</f>
        <v/>
      </c>
      <c r="C776" s="59">
        <f>IF(B776&lt;&gt;" ",CONCATENATE(A776,B776)," ")</f>
        <v/>
      </c>
      <c r="J776" s="71" t="n"/>
    </row>
    <row r="777">
      <c r="A777" s="62" t="inlineStr">
        <is>
          <t>C</t>
        </is>
      </c>
      <c r="B777" s="60">
        <f>IF(E777&gt;1/1/2001,B776+1," ")</f>
        <v/>
      </c>
      <c r="C777" s="59">
        <f>IF(B777&lt;&gt;" ",CONCATENATE(A777,B777)," ")</f>
        <v/>
      </c>
      <c r="J777" s="71" t="n"/>
    </row>
    <row r="778">
      <c r="A778" s="62" t="inlineStr">
        <is>
          <t>C</t>
        </is>
      </c>
      <c r="B778" s="60">
        <f>IF(E778&gt;1/1/2001,B777+1," ")</f>
        <v/>
      </c>
      <c r="C778" s="59">
        <f>IF(B778&lt;&gt;" ",CONCATENATE(A778,B778)," ")</f>
        <v/>
      </c>
      <c r="J778" s="71" t="n"/>
    </row>
    <row r="779">
      <c r="A779" s="62" t="inlineStr">
        <is>
          <t>C</t>
        </is>
      </c>
      <c r="B779" s="60">
        <f>IF(E779&gt;1/1/2001,B778+1," ")</f>
        <v/>
      </c>
      <c r="C779" s="59">
        <f>IF(B779&lt;&gt;" ",CONCATENATE(A779,B779)," ")</f>
        <v/>
      </c>
      <c r="J779" s="71" t="n"/>
    </row>
    <row r="780">
      <c r="A780" s="62" t="inlineStr">
        <is>
          <t>C</t>
        </is>
      </c>
      <c r="B780" s="60">
        <f>IF(E780&gt;1/1/2001,B779+1," ")</f>
        <v/>
      </c>
      <c r="C780" s="59">
        <f>IF(B780&lt;&gt;" ",CONCATENATE(A780,B780)," ")</f>
        <v/>
      </c>
      <c r="J780" s="71" t="n"/>
    </row>
    <row r="781">
      <c r="A781" s="62" t="inlineStr">
        <is>
          <t>C</t>
        </is>
      </c>
      <c r="B781" s="60">
        <f>IF(E781&gt;1/1/2001,B780+1," ")</f>
        <v/>
      </c>
      <c r="C781" s="59">
        <f>IF(B781&lt;&gt;" ",CONCATENATE(A781,B781)," ")</f>
        <v/>
      </c>
      <c r="J781" s="71" t="n"/>
    </row>
    <row r="782">
      <c r="A782" s="62" t="inlineStr">
        <is>
          <t>C</t>
        </is>
      </c>
      <c r="B782" s="60">
        <f>IF(E782&gt;1/1/2001,B781+1," ")</f>
        <v/>
      </c>
      <c r="C782" s="59">
        <f>IF(B782&lt;&gt;" ",CONCATENATE(A782,B782)," ")</f>
        <v/>
      </c>
      <c r="J782" s="71" t="n"/>
    </row>
    <row r="783">
      <c r="A783" s="62" t="inlineStr">
        <is>
          <t>C</t>
        </is>
      </c>
      <c r="B783" s="60">
        <f>IF(E783&gt;1/1/2001,B782+1," ")</f>
        <v/>
      </c>
      <c r="C783" s="59">
        <f>IF(B783&lt;&gt;" ",CONCATENATE(A783,B783)," ")</f>
        <v/>
      </c>
      <c r="J783" s="71" t="n"/>
    </row>
    <row r="784">
      <c r="A784" s="62" t="inlineStr">
        <is>
          <t>C</t>
        </is>
      </c>
      <c r="B784" s="60">
        <f>IF(E784&gt;1/1/2001,B783+1," ")</f>
        <v/>
      </c>
      <c r="C784" s="59">
        <f>IF(B784&lt;&gt;" ",CONCATENATE(A784,B784)," ")</f>
        <v/>
      </c>
      <c r="J784" s="71" t="n"/>
    </row>
    <row r="785">
      <c r="A785" s="62" t="inlineStr">
        <is>
          <t>C</t>
        </is>
      </c>
      <c r="B785" s="60">
        <f>IF(E785&gt;1/1/2001,B784+1," ")</f>
        <v/>
      </c>
      <c r="C785" s="59">
        <f>IF(B785&lt;&gt;" ",CONCATENATE(A785,B785)," ")</f>
        <v/>
      </c>
      <c r="J785" s="71" t="n"/>
    </row>
    <row r="786">
      <c r="A786" s="62" t="inlineStr">
        <is>
          <t>C</t>
        </is>
      </c>
      <c r="B786" s="60">
        <f>IF(E786&gt;1/1/2001,B785+1," ")</f>
        <v/>
      </c>
      <c r="C786" s="59">
        <f>IF(B786&lt;&gt;" ",CONCATENATE(A786,B786)," ")</f>
        <v/>
      </c>
      <c r="J786" s="71" t="n"/>
    </row>
    <row r="787">
      <c r="A787" s="62" t="inlineStr">
        <is>
          <t>C</t>
        </is>
      </c>
      <c r="B787" s="60">
        <f>IF(E787&gt;1/1/2001,B786+1," ")</f>
        <v/>
      </c>
      <c r="C787" s="59">
        <f>IF(B787&lt;&gt;" ",CONCATENATE(A787,B787)," ")</f>
        <v/>
      </c>
      <c r="J787" s="71" t="n"/>
    </row>
    <row r="788">
      <c r="A788" s="62" t="inlineStr">
        <is>
          <t>C</t>
        </is>
      </c>
      <c r="B788" s="60">
        <f>IF(E788&gt;1/1/2001,B787+1," ")</f>
        <v/>
      </c>
      <c r="C788" s="59">
        <f>IF(B788&lt;&gt;" ",CONCATENATE(A788,B788)," ")</f>
        <v/>
      </c>
      <c r="J788" s="71" t="n"/>
    </row>
    <row r="789">
      <c r="A789" s="62" t="inlineStr">
        <is>
          <t>C</t>
        </is>
      </c>
      <c r="B789" s="60">
        <f>IF(E789&gt;1/1/2001,B788+1," ")</f>
        <v/>
      </c>
      <c r="C789" s="59">
        <f>IF(B789&lt;&gt;" ",CONCATENATE(A789,B789)," ")</f>
        <v/>
      </c>
      <c r="J789" s="71" t="n"/>
    </row>
    <row r="790">
      <c r="A790" s="62" t="inlineStr">
        <is>
          <t>C</t>
        </is>
      </c>
      <c r="B790" s="60">
        <f>IF(E790&gt;1/1/2001,B789+1," ")</f>
        <v/>
      </c>
      <c r="C790" s="59">
        <f>IF(B790&lt;&gt;" ",CONCATENATE(A790,B790)," ")</f>
        <v/>
      </c>
      <c r="J790" s="71" t="n"/>
    </row>
    <row r="791">
      <c r="A791" s="62" t="inlineStr">
        <is>
          <t>C</t>
        </is>
      </c>
      <c r="B791" s="60">
        <f>IF(E791&gt;1/1/2001,B790+1," ")</f>
        <v/>
      </c>
      <c r="C791" s="59">
        <f>IF(B791&lt;&gt;" ",CONCATENATE(A791,B791)," ")</f>
        <v/>
      </c>
      <c r="J791" s="71" t="n"/>
    </row>
    <row r="792">
      <c r="A792" s="62" t="inlineStr">
        <is>
          <t>C</t>
        </is>
      </c>
      <c r="B792" s="60">
        <f>IF(E792&gt;1/1/2001,B791+1," ")</f>
        <v/>
      </c>
      <c r="C792" s="59">
        <f>IF(B792&lt;&gt;" ",CONCATENATE(A792,B792)," ")</f>
        <v/>
      </c>
      <c r="J792" s="71" t="n"/>
    </row>
    <row r="793">
      <c r="A793" s="62" t="inlineStr">
        <is>
          <t>C</t>
        </is>
      </c>
      <c r="B793" s="60">
        <f>IF(E793&gt;1/1/2001,B792+1," ")</f>
        <v/>
      </c>
      <c r="C793" s="59">
        <f>IF(B793&lt;&gt;" ",CONCATENATE(A793,B793)," ")</f>
        <v/>
      </c>
      <c r="J793" s="71" t="n"/>
    </row>
    <row r="794">
      <c r="A794" s="62" t="inlineStr">
        <is>
          <t>C</t>
        </is>
      </c>
      <c r="B794" s="60">
        <f>IF(E794&gt;1/1/2001,B793+1," ")</f>
        <v/>
      </c>
      <c r="C794" s="59">
        <f>IF(B794&lt;&gt;" ",CONCATENATE(A794,B794)," ")</f>
        <v/>
      </c>
      <c r="J794" s="71" t="n"/>
    </row>
    <row r="795">
      <c r="A795" s="62" t="inlineStr">
        <is>
          <t>C</t>
        </is>
      </c>
      <c r="B795" s="60">
        <f>IF(E795&gt;1/1/2001,B794+1," ")</f>
        <v/>
      </c>
      <c r="C795" s="59">
        <f>IF(B795&lt;&gt;" ",CONCATENATE(A795,B795)," ")</f>
        <v/>
      </c>
      <c r="J795" s="71" t="n"/>
    </row>
    <row r="796">
      <c r="A796" s="62" t="inlineStr">
        <is>
          <t>C</t>
        </is>
      </c>
      <c r="B796" s="60">
        <f>IF(E796&gt;1/1/2001,B795+1," ")</f>
        <v/>
      </c>
      <c r="C796" s="59">
        <f>IF(B796&lt;&gt;" ",CONCATENATE(A796,B796)," ")</f>
        <v/>
      </c>
      <c r="J796" s="71" t="n"/>
    </row>
    <row r="797">
      <c r="A797" s="62" t="inlineStr">
        <is>
          <t>C</t>
        </is>
      </c>
      <c r="B797" s="60">
        <f>IF(E797&gt;1/1/2001,B796+1," ")</f>
        <v/>
      </c>
      <c r="C797" s="59">
        <f>IF(B797&lt;&gt;" ",CONCATENATE(A797,B797)," ")</f>
        <v/>
      </c>
      <c r="J797" s="71" t="n"/>
    </row>
    <row r="798">
      <c r="A798" s="62" t="inlineStr">
        <is>
          <t>C</t>
        </is>
      </c>
      <c r="B798" s="60">
        <f>IF(E798&gt;1/1/2001,B797+1," ")</f>
        <v/>
      </c>
      <c r="C798" s="59">
        <f>IF(B798&lt;&gt;" ",CONCATENATE(A798,B798)," ")</f>
        <v/>
      </c>
      <c r="J798" s="71" t="n"/>
    </row>
    <row r="799">
      <c r="A799" s="62" t="inlineStr">
        <is>
          <t>C</t>
        </is>
      </c>
      <c r="B799" s="60">
        <f>IF(E799&gt;1/1/2001,B798+1," ")</f>
        <v/>
      </c>
      <c r="C799" s="59">
        <f>IF(B799&lt;&gt;" ",CONCATENATE(A799,B799)," ")</f>
        <v/>
      </c>
      <c r="J799" s="71" t="n"/>
    </row>
    <row r="800">
      <c r="A800" s="62" t="inlineStr">
        <is>
          <t>C</t>
        </is>
      </c>
      <c r="B800" s="60">
        <f>IF(E800&gt;1/1/2001,B799+1," ")</f>
        <v/>
      </c>
      <c r="C800" s="59">
        <f>IF(B800&lt;&gt;" ",CONCATENATE(A800,B800)," ")</f>
        <v/>
      </c>
      <c r="J800" s="71" t="n"/>
    </row>
    <row r="801">
      <c r="A801" s="62" t="inlineStr">
        <is>
          <t>C</t>
        </is>
      </c>
      <c r="B801" s="60">
        <f>IF(E801&gt;1/1/2001,B800+1," ")</f>
        <v/>
      </c>
      <c r="C801" s="59">
        <f>IF(B801&lt;&gt;" ",CONCATENATE(A801,B801)," ")</f>
        <v/>
      </c>
      <c r="J801" s="71" t="n"/>
    </row>
    <row r="802">
      <c r="A802" s="62" t="inlineStr">
        <is>
          <t>C</t>
        </is>
      </c>
      <c r="B802" s="60">
        <f>IF(E802&gt;1/1/2001,B801+1," ")</f>
        <v/>
      </c>
      <c r="C802" s="59">
        <f>IF(B802&lt;&gt;" ",CONCATENATE(A802,B802)," ")</f>
        <v/>
      </c>
      <c r="J802" s="71" t="n"/>
    </row>
    <row r="803">
      <c r="A803" s="62" t="inlineStr">
        <is>
          <t>C</t>
        </is>
      </c>
      <c r="B803" s="60">
        <f>IF(E803&gt;1/1/2001,B802+1," ")</f>
        <v/>
      </c>
      <c r="C803" s="59">
        <f>IF(B803&lt;&gt;" ",CONCATENATE(A803,B803)," ")</f>
        <v/>
      </c>
      <c r="J803" s="71" t="n"/>
    </row>
    <row r="804">
      <c r="A804" s="62" t="inlineStr">
        <is>
          <t>C</t>
        </is>
      </c>
      <c r="B804" s="60">
        <f>IF(E804&gt;1/1/2001,B803+1," ")</f>
        <v/>
      </c>
      <c r="C804" s="59">
        <f>IF(B804&lt;&gt;" ",CONCATENATE(A804,B804)," ")</f>
        <v/>
      </c>
      <c r="J804" s="71" t="n"/>
    </row>
    <row r="805">
      <c r="A805" s="62" t="inlineStr">
        <is>
          <t>C</t>
        </is>
      </c>
      <c r="B805" s="60">
        <f>IF(E805&gt;1/1/2001,B804+1," ")</f>
        <v/>
      </c>
      <c r="C805" s="59">
        <f>IF(B805&lt;&gt;" ",CONCATENATE(A805,B805)," ")</f>
        <v/>
      </c>
      <c r="J805" s="71" t="n"/>
    </row>
    <row r="806">
      <c r="A806" s="62" t="inlineStr">
        <is>
          <t>C</t>
        </is>
      </c>
      <c r="B806" s="60">
        <f>IF(E806&gt;1/1/2001,B805+1," ")</f>
        <v/>
      </c>
      <c r="C806" s="59">
        <f>IF(B806&lt;&gt;" ",CONCATENATE(A806,B806)," ")</f>
        <v/>
      </c>
      <c r="J806" s="71" t="n"/>
    </row>
    <row r="807">
      <c r="A807" s="62" t="inlineStr">
        <is>
          <t>C</t>
        </is>
      </c>
      <c r="B807" s="60">
        <f>IF(E807&gt;1/1/2001,B806+1," ")</f>
        <v/>
      </c>
      <c r="C807" s="59">
        <f>IF(B807&lt;&gt;" ",CONCATENATE(A807,B807)," ")</f>
        <v/>
      </c>
      <c r="J807" s="71" t="n"/>
    </row>
    <row r="808">
      <c r="A808" s="62" t="inlineStr">
        <is>
          <t>C</t>
        </is>
      </c>
      <c r="B808" s="60">
        <f>IF(E808&gt;1/1/2001,B807+1," ")</f>
        <v/>
      </c>
      <c r="C808" s="59">
        <f>IF(B808&lt;&gt;" ",CONCATENATE(A808,B808)," ")</f>
        <v/>
      </c>
      <c r="J808" s="71" t="n"/>
    </row>
    <row r="809">
      <c r="A809" s="62" t="inlineStr">
        <is>
          <t>C</t>
        </is>
      </c>
      <c r="B809" s="60">
        <f>IF(E809&gt;1/1/2001,B808+1," ")</f>
        <v/>
      </c>
      <c r="C809" s="59">
        <f>IF(B809&lt;&gt;" ",CONCATENATE(A809,B809)," ")</f>
        <v/>
      </c>
      <c r="J809" s="71" t="n"/>
    </row>
    <row r="810">
      <c r="A810" s="62" t="inlineStr">
        <is>
          <t>C</t>
        </is>
      </c>
      <c r="B810" s="60">
        <f>IF(E810&gt;1/1/2001,B809+1," ")</f>
        <v/>
      </c>
      <c r="C810" s="59">
        <f>IF(B810&lt;&gt;" ",CONCATENATE(A810,B810)," ")</f>
        <v/>
      </c>
      <c r="J810" s="71" t="n"/>
    </row>
    <row r="811">
      <c r="A811" s="62" t="inlineStr">
        <is>
          <t>C</t>
        </is>
      </c>
      <c r="B811" s="60">
        <f>IF(E811&gt;1/1/2001,B810+1," ")</f>
        <v/>
      </c>
      <c r="C811" s="59">
        <f>IF(B811&lt;&gt;" ",CONCATENATE(A811,B811)," ")</f>
        <v/>
      </c>
      <c r="J811" s="71" t="n"/>
    </row>
    <row r="812">
      <c r="A812" s="62" t="inlineStr">
        <is>
          <t>C</t>
        </is>
      </c>
      <c r="B812" s="60">
        <f>IF(E812&gt;1/1/2001,B811+1," ")</f>
        <v/>
      </c>
      <c r="C812" s="59">
        <f>IF(B812&lt;&gt;" ",CONCATENATE(A812,B812)," ")</f>
        <v/>
      </c>
      <c r="J812" s="71" t="n"/>
    </row>
    <row r="813">
      <c r="A813" s="62" t="inlineStr">
        <is>
          <t>C</t>
        </is>
      </c>
      <c r="B813" s="60">
        <f>IF(E813&gt;1/1/2001,B812+1," ")</f>
        <v/>
      </c>
      <c r="C813" s="59">
        <f>IF(B813&lt;&gt;" ",CONCATENATE(A813,B813)," ")</f>
        <v/>
      </c>
      <c r="J813" s="71" t="n"/>
    </row>
    <row r="814">
      <c r="A814" s="62" t="inlineStr">
        <is>
          <t>C</t>
        </is>
      </c>
      <c r="B814" s="60">
        <f>IF(E814&gt;1/1/2001,B813+1," ")</f>
        <v/>
      </c>
      <c r="C814" s="59">
        <f>IF(B814&lt;&gt;" ",CONCATENATE(A814,B814)," ")</f>
        <v/>
      </c>
      <c r="J814" s="71" t="n"/>
    </row>
    <row r="815">
      <c r="A815" s="62" t="inlineStr">
        <is>
          <t>C</t>
        </is>
      </c>
      <c r="B815" s="60">
        <f>IF(E815&gt;1/1/2001,B814+1," ")</f>
        <v/>
      </c>
      <c r="C815" s="59">
        <f>IF(B815&lt;&gt;" ",CONCATENATE(A815,B815)," ")</f>
        <v/>
      </c>
      <c r="J815" s="71" t="n"/>
    </row>
    <row r="816">
      <c r="A816" s="62" t="inlineStr">
        <is>
          <t>C</t>
        </is>
      </c>
      <c r="B816" s="60">
        <f>IF(E816&gt;1/1/2001,B815+1," ")</f>
        <v/>
      </c>
      <c r="C816" s="59">
        <f>IF(B816&lt;&gt;" ",CONCATENATE(A816,B816)," ")</f>
        <v/>
      </c>
      <c r="J816" s="71" t="n"/>
    </row>
    <row r="817">
      <c r="A817" s="62" t="inlineStr">
        <is>
          <t>C</t>
        </is>
      </c>
      <c r="B817" s="60">
        <f>IF(E817&gt;1/1/2001,B816+1," ")</f>
        <v/>
      </c>
      <c r="C817" s="59">
        <f>IF(B817&lt;&gt;" ",CONCATENATE(A817,B817)," ")</f>
        <v/>
      </c>
      <c r="J817" s="71" t="n"/>
    </row>
    <row r="818">
      <c r="A818" s="62" t="inlineStr">
        <is>
          <t>C</t>
        </is>
      </c>
      <c r="B818" s="60">
        <f>IF(E818&gt;1/1/2001,B817+1," ")</f>
        <v/>
      </c>
      <c r="C818" s="59">
        <f>IF(B818&lt;&gt;" ",CONCATENATE(A818,B818)," ")</f>
        <v/>
      </c>
      <c r="J818" s="71" t="n"/>
    </row>
    <row r="819">
      <c r="A819" s="62" t="inlineStr">
        <is>
          <t>C</t>
        </is>
      </c>
      <c r="B819" s="60">
        <f>IF(E819&gt;1/1/2001,B818+1," ")</f>
        <v/>
      </c>
      <c r="C819" s="59">
        <f>IF(B819&lt;&gt;" ",CONCATENATE(A819,B819)," ")</f>
        <v/>
      </c>
      <c r="J819" s="71" t="n"/>
    </row>
    <row r="820">
      <c r="A820" s="62" t="inlineStr">
        <is>
          <t>C</t>
        </is>
      </c>
      <c r="B820" s="60">
        <f>IF(E820&gt;1/1/2001,B819+1," ")</f>
        <v/>
      </c>
      <c r="C820" s="59">
        <f>IF(B820&lt;&gt;" ",CONCATENATE(A820,B820)," ")</f>
        <v/>
      </c>
      <c r="J820" s="71" t="n"/>
    </row>
    <row r="821">
      <c r="A821" s="62" t="inlineStr">
        <is>
          <t>C</t>
        </is>
      </c>
      <c r="B821" s="60">
        <f>IF(E821&gt;1/1/2001,B820+1," ")</f>
        <v/>
      </c>
      <c r="C821" s="59">
        <f>IF(B821&lt;&gt;" ",CONCATENATE(A821,B821)," ")</f>
        <v/>
      </c>
      <c r="J821" s="71" t="n"/>
    </row>
    <row r="822">
      <c r="A822" s="62" t="inlineStr">
        <is>
          <t>C</t>
        </is>
      </c>
      <c r="B822" s="60">
        <f>IF(E822&gt;1/1/2001,B821+1," ")</f>
        <v/>
      </c>
      <c r="C822" s="59">
        <f>IF(B822&lt;&gt;" ",CONCATENATE(A822,B822)," ")</f>
        <v/>
      </c>
      <c r="J822" s="71" t="n"/>
    </row>
    <row r="823">
      <c r="A823" s="62" t="inlineStr">
        <is>
          <t>C</t>
        </is>
      </c>
      <c r="B823" s="60">
        <f>IF(E823&gt;1/1/2001,B822+1," ")</f>
        <v/>
      </c>
      <c r="C823" s="59">
        <f>IF(B823&lt;&gt;" ",CONCATENATE(A823,B823)," ")</f>
        <v/>
      </c>
      <c r="J823" s="71" t="n"/>
    </row>
    <row r="824">
      <c r="A824" s="62" t="inlineStr">
        <is>
          <t>C</t>
        </is>
      </c>
      <c r="B824" s="60">
        <f>IF(E824&gt;1/1/2001,B823+1," ")</f>
        <v/>
      </c>
      <c r="C824" s="59">
        <f>IF(B824&lt;&gt;" ",CONCATENATE(A824,B824)," ")</f>
        <v/>
      </c>
      <c r="J824" s="71" t="n"/>
    </row>
    <row r="825">
      <c r="A825" s="62" t="inlineStr">
        <is>
          <t>C</t>
        </is>
      </c>
      <c r="B825" s="60">
        <f>IF(E825&gt;1/1/2001,B824+1," ")</f>
        <v/>
      </c>
      <c r="C825" s="59">
        <f>IF(B825&lt;&gt;" ",CONCATENATE(A825,B825)," ")</f>
        <v/>
      </c>
      <c r="J825" s="71" t="n"/>
    </row>
    <row r="826">
      <c r="A826" s="62" t="inlineStr">
        <is>
          <t>C</t>
        </is>
      </c>
      <c r="B826" s="60">
        <f>IF(E826&gt;1/1/2001,B825+1," ")</f>
        <v/>
      </c>
      <c r="C826" s="59">
        <f>IF(B826&lt;&gt;" ",CONCATENATE(A826,B826)," ")</f>
        <v/>
      </c>
      <c r="J826" s="71" t="n"/>
    </row>
    <row r="827">
      <c r="A827" s="62" t="inlineStr">
        <is>
          <t>C</t>
        </is>
      </c>
      <c r="B827" s="60">
        <f>IF(E827&gt;1/1/2001,B826+1," ")</f>
        <v/>
      </c>
      <c r="C827" s="59">
        <f>IF(B827&lt;&gt;" ",CONCATENATE(A827,B827)," ")</f>
        <v/>
      </c>
      <c r="J827" s="71" t="n"/>
    </row>
    <row r="828">
      <c r="A828" s="62" t="inlineStr">
        <is>
          <t>C</t>
        </is>
      </c>
      <c r="B828" s="60">
        <f>IF(E828&gt;1/1/2001,B827+1," ")</f>
        <v/>
      </c>
      <c r="C828" s="59">
        <f>IF(B828&lt;&gt;" ",CONCATENATE(A828,B828)," ")</f>
        <v/>
      </c>
      <c r="J828" s="71" t="n"/>
    </row>
    <row r="829">
      <c r="A829" s="62" t="inlineStr">
        <is>
          <t>C</t>
        </is>
      </c>
      <c r="B829" s="60">
        <f>IF(E829&gt;1/1/2001,B828+1," ")</f>
        <v/>
      </c>
      <c r="C829" s="59">
        <f>IF(B829&lt;&gt;" ",CONCATENATE(A829,B829)," ")</f>
        <v/>
      </c>
      <c r="J829" s="71" t="n"/>
    </row>
    <row r="830">
      <c r="A830" s="62" t="inlineStr">
        <is>
          <t>C</t>
        </is>
      </c>
      <c r="B830" s="60">
        <f>IF(E830&gt;1/1/2001,B829+1," ")</f>
        <v/>
      </c>
      <c r="C830" s="59">
        <f>IF(B830&lt;&gt;" ",CONCATENATE(A830,B830)," ")</f>
        <v/>
      </c>
      <c r="J830" s="71" t="n"/>
    </row>
    <row r="831">
      <c r="A831" s="62" t="inlineStr">
        <is>
          <t>C</t>
        </is>
      </c>
      <c r="B831" s="60">
        <f>IF(E831&gt;1/1/2001,B830+1," ")</f>
        <v/>
      </c>
      <c r="C831" s="59">
        <f>IF(B831&lt;&gt;" ",CONCATENATE(A831,B831)," ")</f>
        <v/>
      </c>
      <c r="J831" s="71" t="n"/>
    </row>
    <row r="832">
      <c r="A832" s="62" t="inlineStr">
        <is>
          <t>C</t>
        </is>
      </c>
      <c r="B832" s="60">
        <f>IF(E832&gt;1/1/2001,B831+1," ")</f>
        <v/>
      </c>
      <c r="C832" s="59">
        <f>IF(B832&lt;&gt;" ",CONCATENATE(A832,B832)," ")</f>
        <v/>
      </c>
      <c r="J832" s="71" t="n"/>
    </row>
    <row r="833">
      <c r="A833" s="62" t="inlineStr">
        <is>
          <t>C</t>
        </is>
      </c>
      <c r="B833" s="60">
        <f>IF(E833&gt;1/1/2001,B832+1," ")</f>
        <v/>
      </c>
      <c r="C833" s="59">
        <f>IF(B833&lt;&gt;" ",CONCATENATE(A833,B833)," ")</f>
        <v/>
      </c>
      <c r="J833" s="71" t="n"/>
    </row>
    <row r="834">
      <c r="A834" s="62" t="inlineStr">
        <is>
          <t>C</t>
        </is>
      </c>
      <c r="B834" s="60">
        <f>IF(E834&gt;1/1/2001,B833+1," ")</f>
        <v/>
      </c>
      <c r="C834" s="59">
        <f>IF(B834&lt;&gt;" ",CONCATENATE(A834,B834)," ")</f>
        <v/>
      </c>
      <c r="J834" s="71" t="n"/>
    </row>
    <row r="835">
      <c r="A835" s="62" t="inlineStr">
        <is>
          <t>C</t>
        </is>
      </c>
      <c r="B835" s="60">
        <f>IF(E835&gt;1/1/2001,B834+1," ")</f>
        <v/>
      </c>
      <c r="C835" s="59">
        <f>IF(B835&lt;&gt;" ",CONCATENATE(A835,B835)," ")</f>
        <v/>
      </c>
      <c r="J835" s="71" t="n"/>
    </row>
    <row r="836">
      <c r="A836" s="62" t="inlineStr">
        <is>
          <t>C</t>
        </is>
      </c>
      <c r="B836" s="60">
        <f>IF(E836&gt;1/1/2001,B835+1," ")</f>
        <v/>
      </c>
      <c r="C836" s="59">
        <f>IF(B836&lt;&gt;" ",CONCATENATE(A836,B836)," ")</f>
        <v/>
      </c>
      <c r="J836" s="71" t="n"/>
    </row>
    <row r="837">
      <c r="A837" s="62" t="inlineStr">
        <is>
          <t>C</t>
        </is>
      </c>
      <c r="B837" s="60">
        <f>IF(E837&gt;1/1/2001,B836+1," ")</f>
        <v/>
      </c>
      <c r="C837" s="59">
        <f>IF(B837&lt;&gt;" ",CONCATENATE(A837,B837)," ")</f>
        <v/>
      </c>
      <c r="J837" s="71" t="n"/>
    </row>
    <row r="838">
      <c r="A838" s="62" t="inlineStr">
        <is>
          <t>C</t>
        </is>
      </c>
      <c r="B838" s="60">
        <f>IF(E838&gt;1/1/2001,B837+1," ")</f>
        <v/>
      </c>
      <c r="C838" s="59">
        <f>IF(B838&lt;&gt;" ",CONCATENATE(A838,B838)," ")</f>
        <v/>
      </c>
      <c r="J838" s="71" t="n"/>
    </row>
    <row r="839">
      <c r="A839" s="62" t="inlineStr">
        <is>
          <t>C</t>
        </is>
      </c>
      <c r="B839" s="60">
        <f>IF(E839&gt;1/1/2001,B838+1," ")</f>
        <v/>
      </c>
      <c r="C839" s="59">
        <f>IF(B839&lt;&gt;" ",CONCATENATE(A839,B839)," ")</f>
        <v/>
      </c>
      <c r="J839" s="71" t="n"/>
    </row>
    <row r="840">
      <c r="A840" s="62" t="inlineStr">
        <is>
          <t>C</t>
        </is>
      </c>
      <c r="B840" s="60">
        <f>IF(E840&gt;1/1/2001,B839+1," ")</f>
        <v/>
      </c>
      <c r="C840" s="59">
        <f>IF(B840&lt;&gt;" ",CONCATENATE(A840,B840)," ")</f>
        <v/>
      </c>
      <c r="J840" s="71" t="n"/>
    </row>
    <row r="841">
      <c r="A841" s="62" t="inlineStr">
        <is>
          <t>C</t>
        </is>
      </c>
      <c r="B841" s="60">
        <f>IF(E841&gt;1/1/2001,B840+1," ")</f>
        <v/>
      </c>
      <c r="C841" s="59">
        <f>IF(B841&lt;&gt;" ",CONCATENATE(A841,B841)," ")</f>
        <v/>
      </c>
      <c r="J841" s="71" t="n"/>
    </row>
    <row r="842">
      <c r="A842" s="62" t="inlineStr">
        <is>
          <t>C</t>
        </is>
      </c>
      <c r="B842" s="60">
        <f>IF(E842&gt;1/1/2001,B841+1," ")</f>
        <v/>
      </c>
      <c r="C842" s="59">
        <f>IF(B842&lt;&gt;" ",CONCATENATE(A842,B842)," ")</f>
        <v/>
      </c>
      <c r="J842" s="71" t="n"/>
    </row>
    <row r="843">
      <c r="A843" s="62" t="inlineStr">
        <is>
          <t>C</t>
        </is>
      </c>
      <c r="B843" s="60">
        <f>IF(E843&gt;1/1/2001,B842+1," ")</f>
        <v/>
      </c>
      <c r="C843" s="59">
        <f>IF(B843&lt;&gt;" ",CONCATENATE(A843,B843)," ")</f>
        <v/>
      </c>
      <c r="J843" s="71" t="n"/>
    </row>
    <row r="844">
      <c r="A844" s="62" t="inlineStr">
        <is>
          <t>C</t>
        </is>
      </c>
      <c r="B844" s="60">
        <f>IF(E844&gt;1/1/2001,B843+1," ")</f>
        <v/>
      </c>
      <c r="C844" s="59">
        <f>IF(B844&lt;&gt;" ",CONCATENATE(A844,B844)," ")</f>
        <v/>
      </c>
      <c r="J844" s="71" t="n"/>
    </row>
    <row r="845">
      <c r="A845" s="62" t="inlineStr">
        <is>
          <t>C</t>
        </is>
      </c>
      <c r="B845" s="60">
        <f>IF(E845&gt;1/1/2001,B844+1," ")</f>
        <v/>
      </c>
      <c r="C845" s="59">
        <f>IF(B845&lt;&gt;" ",CONCATENATE(A845,B845)," ")</f>
        <v/>
      </c>
      <c r="J845" s="71" t="n"/>
    </row>
    <row r="846">
      <c r="A846" s="62" t="inlineStr">
        <is>
          <t>C</t>
        </is>
      </c>
      <c r="B846" s="60">
        <f>IF(E846&gt;1/1/2001,B845+1," ")</f>
        <v/>
      </c>
      <c r="C846" s="59">
        <f>IF(B846&lt;&gt;" ",CONCATENATE(A846,B846)," ")</f>
        <v/>
      </c>
      <c r="J846" s="71" t="n"/>
    </row>
    <row r="847">
      <c r="A847" s="62" t="inlineStr">
        <is>
          <t>C</t>
        </is>
      </c>
      <c r="B847" s="60">
        <f>IF(E847&gt;1/1/2001,B846+1," ")</f>
        <v/>
      </c>
      <c r="C847" s="59">
        <f>IF(B847&lt;&gt;" ",CONCATENATE(A847,B847)," ")</f>
        <v/>
      </c>
      <c r="J847" s="71" t="n"/>
    </row>
    <row r="848">
      <c r="A848" s="62" t="inlineStr">
        <is>
          <t>C</t>
        </is>
      </c>
      <c r="B848" s="60">
        <f>IF(E848&gt;1/1/2001,B847+1," ")</f>
        <v/>
      </c>
      <c r="C848" s="59">
        <f>IF(B848&lt;&gt;" ",CONCATENATE(A848,B848)," ")</f>
        <v/>
      </c>
      <c r="J848" s="71" t="n"/>
    </row>
    <row r="849">
      <c r="A849" s="62" t="inlineStr">
        <is>
          <t>C</t>
        </is>
      </c>
      <c r="B849" s="60">
        <f>IF(E849&gt;1/1/2001,B848+1," ")</f>
        <v/>
      </c>
      <c r="C849" s="59">
        <f>IF(B849&lt;&gt;" ",CONCATENATE(A849,B849)," ")</f>
        <v/>
      </c>
      <c r="J849" s="71" t="n"/>
    </row>
    <row r="850">
      <c r="A850" s="62" t="inlineStr">
        <is>
          <t>C</t>
        </is>
      </c>
      <c r="B850" s="60">
        <f>IF(E850&gt;1/1/2001,B849+1," ")</f>
        <v/>
      </c>
      <c r="C850" s="59">
        <f>IF(B850&lt;&gt;" ",CONCATENATE(A850,B850)," ")</f>
        <v/>
      </c>
      <c r="J850" s="71" t="n"/>
    </row>
    <row r="851">
      <c r="A851" s="62" t="inlineStr">
        <is>
          <t>C</t>
        </is>
      </c>
      <c r="B851" s="60">
        <f>IF(E851&gt;1/1/2001,B850+1," ")</f>
        <v/>
      </c>
      <c r="C851" s="59">
        <f>IF(B851&lt;&gt;" ",CONCATENATE(A851,B851)," ")</f>
        <v/>
      </c>
      <c r="J851" s="71" t="n"/>
    </row>
    <row r="852">
      <c r="A852" s="62" t="inlineStr">
        <is>
          <t>C</t>
        </is>
      </c>
      <c r="B852" s="60">
        <f>IF(E852&gt;1/1/2001,B851+1," ")</f>
        <v/>
      </c>
      <c r="C852" s="59">
        <f>IF(B852&lt;&gt;" ",CONCATENATE(A852,B852)," ")</f>
        <v/>
      </c>
      <c r="J852" s="71" t="n"/>
    </row>
    <row r="853">
      <c r="A853" s="62" t="inlineStr">
        <is>
          <t>C</t>
        </is>
      </c>
      <c r="B853" s="60">
        <f>IF(E853&gt;1/1/2001,B852+1," ")</f>
        <v/>
      </c>
      <c r="C853" s="59">
        <f>IF(B853&lt;&gt;" ",CONCATENATE(A853,B853)," ")</f>
        <v/>
      </c>
      <c r="J853" s="71" t="n"/>
    </row>
    <row r="854">
      <c r="A854" s="62" t="inlineStr">
        <is>
          <t>C</t>
        </is>
      </c>
      <c r="B854" s="60">
        <f>IF(E854&gt;1/1/2001,B853+1," ")</f>
        <v/>
      </c>
      <c r="C854" s="59">
        <f>IF(B854&lt;&gt;" ",CONCATENATE(A854,B854)," ")</f>
        <v/>
      </c>
      <c r="J854" s="71" t="n"/>
    </row>
    <row r="855">
      <c r="A855" s="62" t="inlineStr">
        <is>
          <t>C</t>
        </is>
      </c>
      <c r="B855" s="60">
        <f>IF(E855&gt;1/1/2001,B854+1," ")</f>
        <v/>
      </c>
      <c r="C855" s="59">
        <f>IF(B855&lt;&gt;" ",CONCATENATE(A855,B855)," ")</f>
        <v/>
      </c>
      <c r="J855" s="71" t="n"/>
    </row>
    <row r="856">
      <c r="A856" s="62" t="inlineStr">
        <is>
          <t>C</t>
        </is>
      </c>
      <c r="B856" s="60">
        <f>IF(E856&gt;1/1/2001,B855+1," ")</f>
        <v/>
      </c>
      <c r="C856" s="59">
        <f>IF(B856&lt;&gt;" ",CONCATENATE(A856,B856)," ")</f>
        <v/>
      </c>
      <c r="J856" s="71" t="n"/>
    </row>
    <row r="857">
      <c r="A857" s="62" t="inlineStr">
        <is>
          <t>C</t>
        </is>
      </c>
      <c r="B857" s="60">
        <f>IF(E857&gt;1/1/2001,B856+1," ")</f>
        <v/>
      </c>
      <c r="C857" s="59">
        <f>IF(B857&lt;&gt;" ",CONCATENATE(A857,B857)," ")</f>
        <v/>
      </c>
      <c r="J857" s="71" t="n"/>
    </row>
    <row r="858">
      <c r="A858" s="62" t="inlineStr">
        <is>
          <t>C</t>
        </is>
      </c>
      <c r="B858" s="60">
        <f>IF(E858&gt;1/1/2001,B857+1," ")</f>
        <v/>
      </c>
      <c r="C858" s="59">
        <f>IF(B858&lt;&gt;" ",CONCATENATE(A858,B858)," ")</f>
        <v/>
      </c>
      <c r="J858" s="71" t="n"/>
    </row>
    <row r="859">
      <c r="A859" s="62" t="inlineStr">
        <is>
          <t>C</t>
        </is>
      </c>
      <c r="B859" s="60">
        <f>IF(E859&gt;1/1/2001,B858+1," ")</f>
        <v/>
      </c>
      <c r="C859" s="59">
        <f>IF(B859&lt;&gt;" ",CONCATENATE(A859,B859)," ")</f>
        <v/>
      </c>
      <c r="J859" s="71" t="n"/>
    </row>
    <row r="860">
      <c r="A860" s="62" t="inlineStr">
        <is>
          <t>C</t>
        </is>
      </c>
      <c r="B860" s="60">
        <f>IF(E860&gt;1/1/2001,B859+1," ")</f>
        <v/>
      </c>
      <c r="C860" s="59">
        <f>IF(B860&lt;&gt;" ",CONCATENATE(A860,B860)," ")</f>
        <v/>
      </c>
      <c r="J860" s="71" t="n"/>
    </row>
    <row r="861">
      <c r="A861" s="62" t="inlineStr">
        <is>
          <t>C</t>
        </is>
      </c>
      <c r="B861" s="60">
        <f>IF(E861&gt;1/1/2001,B860+1," ")</f>
        <v/>
      </c>
      <c r="C861" s="59">
        <f>IF(B861&lt;&gt;" ",CONCATENATE(A861,B861)," ")</f>
        <v/>
      </c>
      <c r="J861" s="71" t="n"/>
    </row>
    <row r="862">
      <c r="A862" s="62" t="inlineStr">
        <is>
          <t>C</t>
        </is>
      </c>
      <c r="B862" s="60">
        <f>IF(E862&gt;1/1/2001,B861+1," ")</f>
        <v/>
      </c>
      <c r="C862" s="59">
        <f>IF(B862&lt;&gt;" ",CONCATENATE(A862,B862)," ")</f>
        <v/>
      </c>
      <c r="J862" s="71" t="n"/>
    </row>
    <row r="863">
      <c r="A863" s="62" t="inlineStr">
        <is>
          <t>C</t>
        </is>
      </c>
      <c r="B863" s="60">
        <f>IF(E863&gt;1/1/2001,B862+1," ")</f>
        <v/>
      </c>
      <c r="C863" s="59">
        <f>IF(B863&lt;&gt;" ",CONCATENATE(A863,B863)," ")</f>
        <v/>
      </c>
      <c r="J863" s="71" t="n"/>
    </row>
    <row r="864">
      <c r="A864" s="62" t="inlineStr">
        <is>
          <t>C</t>
        </is>
      </c>
      <c r="B864" s="60">
        <f>IF(E864&gt;1/1/2001,B863+1," ")</f>
        <v/>
      </c>
      <c r="C864" s="59">
        <f>IF(B864&lt;&gt;" ",CONCATENATE(A864,B864)," ")</f>
        <v/>
      </c>
      <c r="J864" s="71" t="n"/>
    </row>
    <row r="865">
      <c r="A865" s="62" t="inlineStr">
        <is>
          <t>C</t>
        </is>
      </c>
      <c r="B865" s="60">
        <f>IF(E865&gt;1/1/2001,B864+1," ")</f>
        <v/>
      </c>
      <c r="C865" s="59">
        <f>IF(B865&lt;&gt;" ",CONCATENATE(A865,B865)," ")</f>
        <v/>
      </c>
      <c r="J865" s="71" t="n"/>
    </row>
    <row r="866">
      <c r="A866" s="62" t="inlineStr">
        <is>
          <t>C</t>
        </is>
      </c>
      <c r="B866" s="60">
        <f>IF(E866&gt;1/1/2001,B865+1," ")</f>
        <v/>
      </c>
      <c r="C866" s="59">
        <f>IF(B866&lt;&gt;" ",CONCATENATE(A866,B866)," ")</f>
        <v/>
      </c>
      <c r="J866" s="71" t="n"/>
    </row>
    <row r="867">
      <c r="A867" s="62" t="inlineStr">
        <is>
          <t>C</t>
        </is>
      </c>
      <c r="B867" s="60">
        <f>IF(E867&gt;1/1/2001,B866+1," ")</f>
        <v/>
      </c>
      <c r="C867" s="59">
        <f>IF(B867&lt;&gt;" ",CONCATENATE(A867,B867)," ")</f>
        <v/>
      </c>
      <c r="J867" s="71" t="n"/>
    </row>
    <row r="868">
      <c r="A868" s="62" t="inlineStr">
        <is>
          <t>C</t>
        </is>
      </c>
      <c r="B868" s="60">
        <f>IF(E868&gt;1/1/2001,B867+1," ")</f>
        <v/>
      </c>
      <c r="C868" s="59">
        <f>IF(B868&lt;&gt;" ",CONCATENATE(A868,B868)," ")</f>
        <v/>
      </c>
      <c r="J868" s="71" t="n"/>
    </row>
    <row r="869">
      <c r="A869" s="62" t="inlineStr">
        <is>
          <t>C</t>
        </is>
      </c>
      <c r="B869" s="60">
        <f>IF(E869&gt;1/1/2001,B868+1," ")</f>
        <v/>
      </c>
      <c r="C869" s="59">
        <f>IF(B869&lt;&gt;" ",CONCATENATE(A869,B869)," ")</f>
        <v/>
      </c>
      <c r="J869" s="71" t="n"/>
    </row>
    <row r="870">
      <c r="A870" s="62" t="inlineStr">
        <is>
          <t>C</t>
        </is>
      </c>
      <c r="B870" s="60">
        <f>IF(E870&gt;1/1/2001,B869+1," ")</f>
        <v/>
      </c>
      <c r="C870" s="59">
        <f>IF(B870&lt;&gt;" ",CONCATENATE(A870,B870)," ")</f>
        <v/>
      </c>
      <c r="J870" s="71" t="n"/>
    </row>
    <row r="871">
      <c r="A871" s="62" t="inlineStr">
        <is>
          <t>C</t>
        </is>
      </c>
      <c r="B871" s="60">
        <f>IF(E871&gt;1/1/2001,B870+1," ")</f>
        <v/>
      </c>
      <c r="C871" s="59">
        <f>IF(B871&lt;&gt;" ",CONCATENATE(A871,B871)," ")</f>
        <v/>
      </c>
      <c r="J871" s="71" t="n"/>
    </row>
    <row r="872">
      <c r="A872" s="62" t="inlineStr">
        <is>
          <t>C</t>
        </is>
      </c>
      <c r="B872" s="60">
        <f>IF(E872&gt;1/1/2001,B871+1," ")</f>
        <v/>
      </c>
      <c r="C872" s="59">
        <f>IF(B872&lt;&gt;" ",CONCATENATE(A872,B872)," ")</f>
        <v/>
      </c>
      <c r="J872" s="71" t="n"/>
    </row>
    <row r="873">
      <c r="A873" s="62" t="inlineStr">
        <is>
          <t>C</t>
        </is>
      </c>
      <c r="B873" s="60">
        <f>IF(E873&gt;1/1/2001,B872+1," ")</f>
        <v/>
      </c>
      <c r="C873" s="59">
        <f>IF(B873&lt;&gt;" ",CONCATENATE(A873,B873)," ")</f>
        <v/>
      </c>
      <c r="J873" s="71" t="n"/>
    </row>
    <row r="874">
      <c r="A874" s="62" t="inlineStr">
        <is>
          <t>C</t>
        </is>
      </c>
      <c r="B874" s="60">
        <f>IF(E874&gt;1/1/2001,B873+1," ")</f>
        <v/>
      </c>
      <c r="C874" s="59">
        <f>IF(B874&lt;&gt;" ",CONCATENATE(A874,B874)," ")</f>
        <v/>
      </c>
      <c r="J874" s="71" t="n"/>
    </row>
    <row r="875">
      <c r="A875" s="62" t="inlineStr">
        <is>
          <t>C</t>
        </is>
      </c>
      <c r="B875" s="60">
        <f>IF(E875&gt;1/1/2001,B874+1," ")</f>
        <v/>
      </c>
      <c r="C875" s="59">
        <f>IF(B875&lt;&gt;" ",CONCATENATE(A875,B875)," ")</f>
        <v/>
      </c>
      <c r="J875" s="71" t="n"/>
    </row>
    <row r="876">
      <c r="A876" s="62" t="inlineStr">
        <is>
          <t>C</t>
        </is>
      </c>
      <c r="B876" s="60">
        <f>IF(E876&gt;1/1/2001,B875+1," ")</f>
        <v/>
      </c>
      <c r="C876" s="59">
        <f>IF(B876&lt;&gt;" ",CONCATENATE(A876,B876)," ")</f>
        <v/>
      </c>
      <c r="J876" s="71" t="n"/>
    </row>
    <row r="877">
      <c r="A877" s="62" t="inlineStr">
        <is>
          <t>C</t>
        </is>
      </c>
      <c r="B877" s="60">
        <f>IF(E877&gt;1/1/2001,B876+1," ")</f>
        <v/>
      </c>
      <c r="C877" s="59">
        <f>IF(B877&lt;&gt;" ",CONCATENATE(A877,B877)," ")</f>
        <v/>
      </c>
      <c r="J877" s="71" t="n"/>
    </row>
    <row r="878">
      <c r="A878" s="62" t="inlineStr">
        <is>
          <t>C</t>
        </is>
      </c>
      <c r="B878" s="60">
        <f>IF(E878&gt;1/1/2001,B877+1," ")</f>
        <v/>
      </c>
      <c r="C878" s="59">
        <f>IF(B878&lt;&gt;" ",CONCATENATE(A878,B878)," ")</f>
        <v/>
      </c>
      <c r="J878" s="71" t="n"/>
    </row>
    <row r="879">
      <c r="A879" s="62" t="inlineStr">
        <is>
          <t>C</t>
        </is>
      </c>
      <c r="B879" s="60">
        <f>IF(E879&gt;1/1/2001,B878+1," ")</f>
        <v/>
      </c>
      <c r="C879" s="59">
        <f>IF(B879&lt;&gt;" ",CONCATENATE(A879,B879)," ")</f>
        <v/>
      </c>
      <c r="J879" s="71" t="n"/>
    </row>
    <row r="880">
      <c r="A880" s="62" t="inlineStr">
        <is>
          <t>C</t>
        </is>
      </c>
      <c r="B880" s="60">
        <f>IF(E880&gt;1/1/2001,B879+1," ")</f>
        <v/>
      </c>
      <c r="C880" s="59">
        <f>IF(B880&lt;&gt;" ",CONCATENATE(A880,B880)," ")</f>
        <v/>
      </c>
      <c r="J880" s="71" t="n"/>
    </row>
    <row r="881">
      <c r="A881" s="62" t="inlineStr">
        <is>
          <t>C</t>
        </is>
      </c>
      <c r="B881" s="60">
        <f>IF(E881&gt;1/1/2001,B880+1," ")</f>
        <v/>
      </c>
      <c r="C881" s="59">
        <f>IF(B881&lt;&gt;" ",CONCATENATE(A881,B881)," ")</f>
        <v/>
      </c>
      <c r="J881" s="71" t="n"/>
    </row>
    <row r="882">
      <c r="A882" s="62" t="inlineStr">
        <is>
          <t>C</t>
        </is>
      </c>
      <c r="B882" s="60">
        <f>IF(E882&gt;1/1/2001,B881+1," ")</f>
        <v/>
      </c>
      <c r="C882" s="59">
        <f>IF(B882&lt;&gt;" ",CONCATENATE(A882,B882)," ")</f>
        <v/>
      </c>
      <c r="J882" s="71" t="n"/>
    </row>
    <row r="883">
      <c r="A883" s="62" t="inlineStr">
        <is>
          <t>C</t>
        </is>
      </c>
      <c r="B883" s="60">
        <f>IF(E883&gt;1/1/2001,B882+1," ")</f>
        <v/>
      </c>
      <c r="C883" s="59">
        <f>IF(B883&lt;&gt;" ",CONCATENATE(A883,B883)," ")</f>
        <v/>
      </c>
      <c r="J883" s="71" t="n"/>
    </row>
    <row r="884">
      <c r="A884" s="62" t="inlineStr">
        <is>
          <t>C</t>
        </is>
      </c>
      <c r="B884" s="60">
        <f>IF(E884&gt;1/1/2001,B883+1," ")</f>
        <v/>
      </c>
      <c r="C884" s="59">
        <f>IF(B884&lt;&gt;" ",CONCATENATE(A884,B884)," ")</f>
        <v/>
      </c>
      <c r="J884" s="71" t="n"/>
    </row>
    <row r="885">
      <c r="A885" s="62" t="inlineStr">
        <is>
          <t>C</t>
        </is>
      </c>
      <c r="B885" s="60">
        <f>IF(E885&gt;1/1/2001,B884+1," ")</f>
        <v/>
      </c>
      <c r="C885" s="59">
        <f>IF(B885&lt;&gt;" ",CONCATENATE(A885,B885)," ")</f>
        <v/>
      </c>
      <c r="J885" s="71" t="n"/>
    </row>
    <row r="886">
      <c r="A886" s="62" t="inlineStr">
        <is>
          <t>C</t>
        </is>
      </c>
      <c r="B886" s="60">
        <f>IF(E886&gt;1/1/2001,B885+1," ")</f>
        <v/>
      </c>
      <c r="C886" s="59">
        <f>IF(B886&lt;&gt;" ",CONCATENATE(A886,B886)," ")</f>
        <v/>
      </c>
      <c r="J886" s="71" t="n"/>
    </row>
    <row r="887">
      <c r="A887" s="62" t="inlineStr">
        <is>
          <t>C</t>
        </is>
      </c>
      <c r="B887" s="60">
        <f>IF(E887&gt;1/1/2001,B886+1," ")</f>
        <v/>
      </c>
      <c r="C887" s="59">
        <f>IF(B887&lt;&gt;" ",CONCATENATE(A887,B887)," ")</f>
        <v/>
      </c>
      <c r="J887" s="71" t="n"/>
    </row>
    <row r="888">
      <c r="A888" s="62" t="inlineStr">
        <is>
          <t>C</t>
        </is>
      </c>
      <c r="B888" s="60">
        <f>IF(E888&gt;1/1/2001,B887+1," ")</f>
        <v/>
      </c>
      <c r="C888" s="59">
        <f>IF(B888&lt;&gt;" ",CONCATENATE(A888,B888)," ")</f>
        <v/>
      </c>
      <c r="J888" s="71" t="n"/>
    </row>
    <row r="889">
      <c r="A889" s="62" t="inlineStr">
        <is>
          <t>C</t>
        </is>
      </c>
      <c r="B889" s="60">
        <f>IF(E889&gt;1/1/2001,B888+1," ")</f>
        <v/>
      </c>
      <c r="C889" s="59">
        <f>IF(B889&lt;&gt;" ",CONCATENATE(A889,B889)," ")</f>
        <v/>
      </c>
      <c r="J889" s="71" t="n"/>
    </row>
    <row r="890">
      <c r="A890" s="62" t="inlineStr">
        <is>
          <t>C</t>
        </is>
      </c>
      <c r="B890" s="60">
        <f>IF(E890&gt;1/1/2001,B889+1," ")</f>
        <v/>
      </c>
      <c r="C890" s="59">
        <f>IF(B890&lt;&gt;" ",CONCATENATE(A890,B890)," ")</f>
        <v/>
      </c>
      <c r="J890" s="71" t="n"/>
    </row>
    <row r="891">
      <c r="A891" s="62" t="inlineStr">
        <is>
          <t>C</t>
        </is>
      </c>
      <c r="B891" s="60">
        <f>IF(E891&gt;1/1/2001,B890+1," ")</f>
        <v/>
      </c>
      <c r="C891" s="59">
        <f>IF(B891&lt;&gt;" ",CONCATENATE(A891,B891)," ")</f>
        <v/>
      </c>
      <c r="J891" s="71" t="n"/>
    </row>
    <row r="892">
      <c r="A892" s="62" t="inlineStr">
        <is>
          <t>C</t>
        </is>
      </c>
      <c r="B892" s="60">
        <f>IF(E892&gt;1/1/2001,B891+1," ")</f>
        <v/>
      </c>
      <c r="C892" s="59">
        <f>IF(B892&lt;&gt;" ",CONCATENATE(A892,B892)," ")</f>
        <v/>
      </c>
      <c r="J892" s="71" t="n"/>
    </row>
    <row r="893">
      <c r="A893" s="62" t="inlineStr">
        <is>
          <t>C</t>
        </is>
      </c>
      <c r="B893" s="60">
        <f>IF(E893&gt;1/1/2001,B892+1," ")</f>
        <v/>
      </c>
      <c r="C893" s="59">
        <f>IF(B893&lt;&gt;" ",CONCATENATE(A893,B893)," ")</f>
        <v/>
      </c>
      <c r="J893" s="71" t="n"/>
    </row>
    <row r="894">
      <c r="A894" s="62" t="inlineStr">
        <is>
          <t>C</t>
        </is>
      </c>
      <c r="B894" s="60">
        <f>IF(E894&gt;1/1/2001,B893+1," ")</f>
        <v/>
      </c>
      <c r="C894" s="59">
        <f>IF(B894&lt;&gt;" ",CONCATENATE(A894,B894)," ")</f>
        <v/>
      </c>
      <c r="J894" s="71" t="n"/>
    </row>
    <row r="895">
      <c r="A895" s="62" t="inlineStr">
        <is>
          <t>C</t>
        </is>
      </c>
      <c r="B895" s="60">
        <f>IF(E895&gt;1/1/2001,B894+1," ")</f>
        <v/>
      </c>
      <c r="C895" s="59">
        <f>IF(B895&lt;&gt;" ",CONCATENATE(A895,B895)," ")</f>
        <v/>
      </c>
      <c r="J895" s="71" t="n"/>
    </row>
    <row r="896">
      <c r="A896" s="62" t="inlineStr">
        <is>
          <t>C</t>
        </is>
      </c>
      <c r="B896" s="60">
        <f>IF(E896&gt;1/1/2001,B895+1," ")</f>
        <v/>
      </c>
      <c r="C896" s="59">
        <f>IF(B896&lt;&gt;" ",CONCATENATE(A896,B896)," ")</f>
        <v/>
      </c>
      <c r="J896" s="71" t="n"/>
    </row>
    <row r="897">
      <c r="A897" s="62" t="inlineStr">
        <is>
          <t>C</t>
        </is>
      </c>
      <c r="B897" s="60">
        <f>IF(E897&gt;1/1/2001,B896+1," ")</f>
        <v/>
      </c>
      <c r="C897" s="59">
        <f>IF(B897&lt;&gt;" ",CONCATENATE(A897,B897)," ")</f>
        <v/>
      </c>
      <c r="J897" s="71" t="n"/>
    </row>
    <row r="898">
      <c r="A898" s="62" t="inlineStr">
        <is>
          <t>C</t>
        </is>
      </c>
      <c r="B898" s="60">
        <f>IF(E898&gt;1/1/2001,B897+1," ")</f>
        <v/>
      </c>
      <c r="C898" s="59">
        <f>IF(B898&lt;&gt;" ",CONCATENATE(A898,B898)," ")</f>
        <v/>
      </c>
      <c r="J898" s="71" t="n"/>
    </row>
    <row r="899">
      <c r="A899" s="62" t="inlineStr">
        <is>
          <t>C</t>
        </is>
      </c>
      <c r="B899" s="60">
        <f>IF(E899&gt;1/1/2001,B898+1," ")</f>
        <v/>
      </c>
      <c r="C899" s="59">
        <f>IF(B899&lt;&gt;" ",CONCATENATE(A899,B899)," ")</f>
        <v/>
      </c>
      <c r="J899" s="71" t="n"/>
    </row>
    <row r="900">
      <c r="A900" s="62" t="inlineStr">
        <is>
          <t>C</t>
        </is>
      </c>
      <c r="B900" s="60">
        <f>IF(E900&gt;1/1/2001,B899+1," ")</f>
        <v/>
      </c>
      <c r="C900" s="59">
        <f>IF(B900&lt;&gt;" ",CONCATENATE(A900,B900)," ")</f>
        <v/>
      </c>
      <c r="J900" s="71" t="n"/>
    </row>
    <row r="901">
      <c r="A901" s="62" t="inlineStr">
        <is>
          <t>C</t>
        </is>
      </c>
      <c r="B901" s="60">
        <f>IF(E901&gt;1/1/2001,B900+1," ")</f>
        <v/>
      </c>
      <c r="C901" s="59">
        <f>IF(B901&lt;&gt;" ",CONCATENATE(A901,B901)," ")</f>
        <v/>
      </c>
      <c r="J901" s="71" t="n"/>
    </row>
    <row r="902">
      <c r="A902" s="62" t="inlineStr">
        <is>
          <t>C</t>
        </is>
      </c>
      <c r="B902" s="60">
        <f>IF(E902&gt;1/1/2001,B901+1," ")</f>
        <v/>
      </c>
      <c r="C902" s="59">
        <f>IF(B902&lt;&gt;" ",CONCATENATE(A902,B902)," ")</f>
        <v/>
      </c>
      <c r="J902" s="71" t="n"/>
    </row>
    <row r="903">
      <c r="A903" s="62" t="inlineStr">
        <is>
          <t>C</t>
        </is>
      </c>
      <c r="B903" s="60">
        <f>IF(E903&gt;1/1/2001,B902+1," ")</f>
        <v/>
      </c>
      <c r="C903" s="59">
        <f>IF(B903&lt;&gt;" ",CONCATENATE(A903,B903)," ")</f>
        <v/>
      </c>
      <c r="J903" s="71" t="n"/>
    </row>
    <row r="904">
      <c r="A904" s="62" t="inlineStr">
        <is>
          <t>C</t>
        </is>
      </c>
      <c r="B904" s="60">
        <f>IF(E904&gt;1/1/2001,B903+1," ")</f>
        <v/>
      </c>
      <c r="C904" s="59">
        <f>IF(B904&lt;&gt;" ",CONCATENATE(A904,B904)," ")</f>
        <v/>
      </c>
      <c r="J904" s="71" t="n"/>
    </row>
    <row r="905">
      <c r="A905" s="62" t="inlineStr">
        <is>
          <t>C</t>
        </is>
      </c>
      <c r="B905" s="60">
        <f>IF(E905&gt;1/1/2001,B904+1," ")</f>
        <v/>
      </c>
      <c r="C905" s="59">
        <f>IF(B905&lt;&gt;" ",CONCATENATE(A905,B905)," ")</f>
        <v/>
      </c>
      <c r="J905" s="71" t="n"/>
    </row>
    <row r="906">
      <c r="A906" s="62" t="inlineStr">
        <is>
          <t>C</t>
        </is>
      </c>
      <c r="B906" s="60">
        <f>IF(E906&gt;1/1/2001,B905+1," ")</f>
        <v/>
      </c>
      <c r="C906" s="59">
        <f>IF(B906&lt;&gt;" ",CONCATENATE(A906,B906)," ")</f>
        <v/>
      </c>
      <c r="J906" s="71" t="n"/>
    </row>
    <row r="907">
      <c r="A907" s="62" t="inlineStr">
        <is>
          <t>C</t>
        </is>
      </c>
      <c r="B907" s="60">
        <f>IF(E907&gt;1/1/2001,B906+1," ")</f>
        <v/>
      </c>
      <c r="C907" s="59">
        <f>IF(B907&lt;&gt;" ",CONCATENATE(A907,B907)," ")</f>
        <v/>
      </c>
      <c r="J907" s="71" t="n"/>
    </row>
    <row r="908">
      <c r="A908" s="62" t="inlineStr">
        <is>
          <t>C</t>
        </is>
      </c>
      <c r="B908" s="60">
        <f>IF(E908&gt;1/1/2001,B907+1," ")</f>
        <v/>
      </c>
      <c r="C908" s="59">
        <f>IF(B908&lt;&gt;" ",CONCATENATE(A908,B908)," ")</f>
        <v/>
      </c>
      <c r="J908" s="71" t="n"/>
    </row>
    <row r="909">
      <c r="A909" s="62" t="inlineStr">
        <is>
          <t>C</t>
        </is>
      </c>
      <c r="B909" s="60">
        <f>IF(E909&gt;1/1/2001,B908+1," ")</f>
        <v/>
      </c>
      <c r="C909" s="59">
        <f>IF(B909&lt;&gt;" ",CONCATENATE(A909,B909)," ")</f>
        <v/>
      </c>
      <c r="J909" s="71" t="n"/>
    </row>
    <row r="910">
      <c r="A910" s="62" t="inlineStr">
        <is>
          <t>C</t>
        </is>
      </c>
      <c r="B910" s="60">
        <f>IF(E910&gt;1/1/2001,B909+1," ")</f>
        <v/>
      </c>
      <c r="C910" s="59">
        <f>IF(B910&lt;&gt;" ",CONCATENATE(A910,B910)," ")</f>
        <v/>
      </c>
      <c r="J910" s="71" t="n"/>
    </row>
    <row r="911">
      <c r="A911" s="62" t="inlineStr">
        <is>
          <t>C</t>
        </is>
      </c>
      <c r="B911" s="60">
        <f>IF(E911&gt;1/1/2001,B910+1," ")</f>
        <v/>
      </c>
      <c r="C911" s="59">
        <f>IF(B911&lt;&gt;" ",CONCATENATE(A911,B911)," ")</f>
        <v/>
      </c>
      <c r="J911" s="71" t="n"/>
    </row>
    <row r="912">
      <c r="A912" s="62" t="inlineStr">
        <is>
          <t>C</t>
        </is>
      </c>
      <c r="B912" s="60">
        <f>IF(E912&gt;1/1/2001,B911+1," ")</f>
        <v/>
      </c>
      <c r="C912" s="59">
        <f>IF(B912&lt;&gt;" ",CONCATENATE(A912,B912)," ")</f>
        <v/>
      </c>
      <c r="J912" s="71" t="n"/>
    </row>
    <row r="913">
      <c r="A913" s="62" t="inlineStr">
        <is>
          <t>C</t>
        </is>
      </c>
      <c r="B913" s="60">
        <f>IF(E913&gt;1/1/2001,B912+1," ")</f>
        <v/>
      </c>
      <c r="C913" s="59">
        <f>IF(B913&lt;&gt;" ",CONCATENATE(A913,B913)," ")</f>
        <v/>
      </c>
      <c r="J913" s="71" t="n"/>
    </row>
    <row r="914">
      <c r="A914" s="62" t="inlineStr">
        <is>
          <t>C</t>
        </is>
      </c>
      <c r="B914" s="60">
        <f>IF(E914&gt;1/1/2001,B913+1," ")</f>
        <v/>
      </c>
      <c r="C914" s="59">
        <f>IF(B914&lt;&gt;" ",CONCATENATE(A914,B914)," ")</f>
        <v/>
      </c>
      <c r="J914" s="71" t="n"/>
    </row>
    <row r="915">
      <c r="A915" s="62" t="inlineStr">
        <is>
          <t>C</t>
        </is>
      </c>
      <c r="B915" s="60">
        <f>IF(E915&gt;1/1/2001,B914+1," ")</f>
        <v/>
      </c>
      <c r="C915" s="59">
        <f>IF(B915&lt;&gt;" ",CONCATENATE(A915,B915)," ")</f>
        <v/>
      </c>
      <c r="J915" s="71" t="n"/>
    </row>
    <row r="916">
      <c r="A916" s="62" t="inlineStr">
        <is>
          <t>C</t>
        </is>
      </c>
      <c r="B916" s="60">
        <f>IF(E916&gt;1/1/2001,B915+1," ")</f>
        <v/>
      </c>
      <c r="C916" s="59">
        <f>IF(B916&lt;&gt;" ",CONCATENATE(A916,B916)," ")</f>
        <v/>
      </c>
      <c r="J916" s="71" t="n"/>
    </row>
    <row r="917">
      <c r="A917" s="62" t="inlineStr">
        <is>
          <t>C</t>
        </is>
      </c>
      <c r="B917" s="60">
        <f>IF(E917&gt;1/1/2001,B916+1," ")</f>
        <v/>
      </c>
      <c r="C917" s="59">
        <f>IF(B917&lt;&gt;" ",CONCATENATE(A917,B917)," ")</f>
        <v/>
      </c>
      <c r="J917" s="71" t="n"/>
    </row>
    <row r="918">
      <c r="A918" s="62" t="inlineStr">
        <is>
          <t>C</t>
        </is>
      </c>
      <c r="B918" s="60">
        <f>IF(E918&gt;1/1/2001,B917+1," ")</f>
        <v/>
      </c>
      <c r="C918" s="59">
        <f>IF(B918&lt;&gt;" ",CONCATENATE(A918,B918)," ")</f>
        <v/>
      </c>
      <c r="J918" s="71" t="n"/>
    </row>
    <row r="919">
      <c r="A919" s="62" t="inlineStr">
        <is>
          <t>C</t>
        </is>
      </c>
      <c r="B919" s="60">
        <f>IF(E919&gt;1/1/2001,B918+1," ")</f>
        <v/>
      </c>
      <c r="C919" s="59">
        <f>IF(B919&lt;&gt;" ",CONCATENATE(A919,B919)," ")</f>
        <v/>
      </c>
      <c r="J919" s="71" t="n"/>
    </row>
    <row r="920">
      <c r="A920" s="62" t="inlineStr">
        <is>
          <t>C</t>
        </is>
      </c>
      <c r="B920" s="60">
        <f>IF(E920&gt;1/1/2001,B919+1," ")</f>
        <v/>
      </c>
      <c r="C920" s="59">
        <f>IF(B920&lt;&gt;" ",CONCATENATE(A920,B920)," ")</f>
        <v/>
      </c>
      <c r="J920" s="71" t="n"/>
    </row>
    <row r="921">
      <c r="A921" s="62" t="inlineStr">
        <is>
          <t>C</t>
        </is>
      </c>
      <c r="B921" s="60">
        <f>IF(E921&gt;1/1/2001,B920+1," ")</f>
        <v/>
      </c>
      <c r="C921" s="59">
        <f>IF(B921&lt;&gt;" ",CONCATENATE(A921,B921)," ")</f>
        <v/>
      </c>
      <c r="J921" s="71" t="n"/>
    </row>
    <row r="922">
      <c r="A922" s="62" t="inlineStr">
        <is>
          <t>C</t>
        </is>
      </c>
      <c r="B922" s="60">
        <f>IF(E922&gt;1/1/2001,B921+1," ")</f>
        <v/>
      </c>
      <c r="C922" s="59">
        <f>IF(B922&lt;&gt;" ",CONCATENATE(A922,B922)," ")</f>
        <v/>
      </c>
      <c r="J922" s="71" t="n"/>
    </row>
    <row r="923">
      <c r="A923" s="62" t="inlineStr">
        <is>
          <t>C</t>
        </is>
      </c>
      <c r="B923" s="60">
        <f>IF(E923&gt;1/1/2001,B922+1," ")</f>
        <v/>
      </c>
      <c r="C923" s="59">
        <f>IF(B923&lt;&gt;" ",CONCATENATE(A923,B923)," ")</f>
        <v/>
      </c>
      <c r="J923" s="71" t="n"/>
    </row>
    <row r="924">
      <c r="A924" s="62" t="inlineStr">
        <is>
          <t>C</t>
        </is>
      </c>
      <c r="B924" s="60">
        <f>IF(E924&gt;1/1/2001,B923+1," ")</f>
        <v/>
      </c>
      <c r="C924" s="59">
        <f>IF(B924&lt;&gt;" ",CONCATENATE(A924,B924)," ")</f>
        <v/>
      </c>
      <c r="J924" s="71" t="n"/>
    </row>
    <row r="925">
      <c r="A925" s="62" t="inlineStr">
        <is>
          <t>C</t>
        </is>
      </c>
      <c r="B925" s="60">
        <f>IF(E925&gt;1/1/2001,B924+1," ")</f>
        <v/>
      </c>
      <c r="C925" s="59">
        <f>IF(B925&lt;&gt;" ",CONCATENATE(A925,B925)," ")</f>
        <v/>
      </c>
      <c r="J925" s="71" t="n"/>
    </row>
    <row r="926">
      <c r="A926" s="62" t="inlineStr">
        <is>
          <t>C</t>
        </is>
      </c>
      <c r="B926" s="60">
        <f>IF(E926&gt;1/1/2001,B925+1," ")</f>
        <v/>
      </c>
      <c r="C926" s="59">
        <f>IF(B926&lt;&gt;" ",CONCATENATE(A926,B926)," ")</f>
        <v/>
      </c>
      <c r="J926" s="71" t="n"/>
    </row>
    <row r="927">
      <c r="A927" s="62" t="inlineStr">
        <is>
          <t>C</t>
        </is>
      </c>
      <c r="B927" s="60">
        <f>IF(E927&gt;1/1/2001,B926+1," ")</f>
        <v/>
      </c>
      <c r="C927" s="59">
        <f>IF(B927&lt;&gt;" ",CONCATENATE(A927,B927)," ")</f>
        <v/>
      </c>
      <c r="J927" s="71" t="n"/>
    </row>
    <row r="928">
      <c r="A928" s="62" t="inlineStr">
        <is>
          <t>C</t>
        </is>
      </c>
      <c r="B928" s="60">
        <f>IF(E928&gt;1/1/2001,B927+1," ")</f>
        <v/>
      </c>
      <c r="C928" s="59">
        <f>IF(B928&lt;&gt;" ",CONCATENATE(A928,B928)," ")</f>
        <v/>
      </c>
      <c r="J928" s="71" t="n"/>
    </row>
    <row r="929">
      <c r="A929" s="62" t="inlineStr">
        <is>
          <t>C</t>
        </is>
      </c>
      <c r="B929" s="60">
        <f>IF(E929&gt;1/1/2001,B928+1," ")</f>
        <v/>
      </c>
      <c r="C929" s="59">
        <f>IF(B929&lt;&gt;" ",CONCATENATE(A929,B929)," ")</f>
        <v/>
      </c>
      <c r="J929" s="71" t="n"/>
    </row>
    <row r="930">
      <c r="A930" s="62" t="inlineStr">
        <is>
          <t>C</t>
        </is>
      </c>
      <c r="B930" s="60">
        <f>IF(E930&gt;1/1/2001,B929+1," ")</f>
        <v/>
      </c>
      <c r="C930" s="59">
        <f>IF(B930&lt;&gt;" ",CONCATENATE(A930,B930)," ")</f>
        <v/>
      </c>
      <c r="J930" s="71" t="n"/>
    </row>
    <row r="931">
      <c r="A931" s="62" t="inlineStr">
        <is>
          <t>C</t>
        </is>
      </c>
      <c r="B931" s="60">
        <f>IF(E931&gt;1/1/2001,B930+1," ")</f>
        <v/>
      </c>
      <c r="C931" s="59">
        <f>IF(B931&lt;&gt;" ",CONCATENATE(A931,B931)," ")</f>
        <v/>
      </c>
      <c r="J931" s="71" t="n"/>
    </row>
    <row r="932">
      <c r="A932" s="62" t="inlineStr">
        <is>
          <t>C</t>
        </is>
      </c>
      <c r="B932" s="60">
        <f>IF(E932&gt;1/1/2001,B931+1," ")</f>
        <v/>
      </c>
      <c r="C932" s="59">
        <f>IF(B932&lt;&gt;" ",CONCATENATE(A932,B932)," ")</f>
        <v/>
      </c>
      <c r="J932" s="71" t="n"/>
    </row>
    <row r="933">
      <c r="A933" s="62" t="inlineStr">
        <is>
          <t>C</t>
        </is>
      </c>
      <c r="B933" s="60">
        <f>IF(E933&gt;1/1/2001,B932+1," ")</f>
        <v/>
      </c>
      <c r="C933" s="59">
        <f>IF(B933&lt;&gt;" ",CONCATENATE(A933,B933)," ")</f>
        <v/>
      </c>
      <c r="J933" s="71" t="n"/>
    </row>
    <row r="934">
      <c r="A934" s="62" t="inlineStr">
        <is>
          <t>C</t>
        </is>
      </c>
      <c r="B934" s="60">
        <f>IF(E934&gt;1/1/2001,B933+1," ")</f>
        <v/>
      </c>
      <c r="C934" s="59">
        <f>IF(B934&lt;&gt;" ",CONCATENATE(A934,B934)," ")</f>
        <v/>
      </c>
      <c r="J934" s="71" t="n"/>
    </row>
    <row r="935">
      <c r="A935" s="62" t="inlineStr">
        <is>
          <t>C</t>
        </is>
      </c>
      <c r="B935" s="60">
        <f>IF(E935&gt;1/1/2001,B934+1," ")</f>
        <v/>
      </c>
      <c r="C935" s="59">
        <f>IF(B935&lt;&gt;" ",CONCATENATE(A935,B935)," ")</f>
        <v/>
      </c>
      <c r="J935" s="71" t="n"/>
    </row>
    <row r="936">
      <c r="A936" s="62" t="inlineStr">
        <is>
          <t>C</t>
        </is>
      </c>
      <c r="B936" s="60">
        <f>IF(E936&gt;1/1/2001,B935+1," ")</f>
        <v/>
      </c>
      <c r="C936" s="59">
        <f>IF(B936&lt;&gt;" ",CONCATENATE(A936,B936)," ")</f>
        <v/>
      </c>
      <c r="J936" s="71" t="n"/>
    </row>
    <row r="937">
      <c r="A937" s="62" t="inlineStr">
        <is>
          <t>C</t>
        </is>
      </c>
      <c r="B937" s="60">
        <f>IF(E937&gt;1/1/2001,B936+1," ")</f>
        <v/>
      </c>
      <c r="C937" s="59">
        <f>IF(B937&lt;&gt;" ",CONCATENATE(A937,B937)," ")</f>
        <v/>
      </c>
      <c r="J937" s="71" t="n"/>
    </row>
    <row r="938">
      <c r="A938" s="62" t="inlineStr">
        <is>
          <t>C</t>
        </is>
      </c>
      <c r="B938" s="60">
        <f>IF(E938&gt;1/1/2001,B937+1," ")</f>
        <v/>
      </c>
      <c r="C938" s="59">
        <f>IF(B938&lt;&gt;" ",CONCATENATE(A938,B938)," ")</f>
        <v/>
      </c>
      <c r="J938" s="71" t="n"/>
    </row>
    <row r="939">
      <c r="A939" s="62" t="inlineStr">
        <is>
          <t>C</t>
        </is>
      </c>
      <c r="B939" s="60">
        <f>IF(E939&gt;1/1/2001,B938+1," ")</f>
        <v/>
      </c>
      <c r="C939" s="59">
        <f>IF(B939&lt;&gt;" ",CONCATENATE(A939,B939)," ")</f>
        <v/>
      </c>
      <c r="J939" s="71" t="n"/>
    </row>
    <row r="940">
      <c r="A940" s="62" t="inlineStr">
        <is>
          <t>C</t>
        </is>
      </c>
      <c r="B940" s="60">
        <f>IF(E940&gt;1/1/2001,B939+1," ")</f>
        <v/>
      </c>
      <c r="C940" s="59">
        <f>IF(B940&lt;&gt;" ",CONCATENATE(A940,B940)," ")</f>
        <v/>
      </c>
      <c r="J940" s="71" t="n"/>
    </row>
    <row r="941">
      <c r="A941" s="62" t="inlineStr">
        <is>
          <t>C</t>
        </is>
      </c>
      <c r="B941" s="60">
        <f>IF(E941&gt;1/1/2001,B940+1," ")</f>
        <v/>
      </c>
      <c r="C941" s="59">
        <f>IF(B941&lt;&gt;" ",CONCATENATE(A941,B941)," ")</f>
        <v/>
      </c>
      <c r="J941" s="71" t="n"/>
    </row>
    <row r="942">
      <c r="A942" s="62" t="inlineStr">
        <is>
          <t>C</t>
        </is>
      </c>
      <c r="B942" s="60">
        <f>IF(E942&gt;1/1/2001,B941+1," ")</f>
        <v/>
      </c>
      <c r="C942" s="59">
        <f>IF(B942&lt;&gt;" ",CONCATENATE(A942,B942)," ")</f>
        <v/>
      </c>
      <c r="J942" s="71" t="n"/>
    </row>
    <row r="943">
      <c r="A943" s="62" t="inlineStr">
        <is>
          <t>C</t>
        </is>
      </c>
      <c r="B943" s="60">
        <f>IF(E943&gt;1/1/2001,B942+1," ")</f>
        <v/>
      </c>
      <c r="C943" s="59">
        <f>IF(B943&lt;&gt;" ",CONCATENATE(A943,B943)," ")</f>
        <v/>
      </c>
      <c r="J943" s="71" t="n"/>
    </row>
    <row r="944">
      <c r="A944" s="62" t="inlineStr">
        <is>
          <t>C</t>
        </is>
      </c>
      <c r="B944" s="60">
        <f>IF(E944&gt;1/1/2001,B943+1," ")</f>
        <v/>
      </c>
      <c r="C944" s="59">
        <f>IF(B944&lt;&gt;" ",CONCATENATE(A944,B944)," ")</f>
        <v/>
      </c>
      <c r="J944" s="71" t="n"/>
    </row>
    <row r="945">
      <c r="A945" s="62" t="inlineStr">
        <is>
          <t>C</t>
        </is>
      </c>
      <c r="B945" s="60">
        <f>IF(E945&gt;1/1/2001,B944+1," ")</f>
        <v/>
      </c>
      <c r="C945" s="59">
        <f>IF(B945&lt;&gt;" ",CONCATENATE(A945,B945)," ")</f>
        <v/>
      </c>
      <c r="J945" s="71" t="n"/>
    </row>
    <row r="946">
      <c r="A946" s="62" t="inlineStr">
        <is>
          <t>C</t>
        </is>
      </c>
      <c r="B946" s="60">
        <f>IF(E946&gt;1/1/2001,B945+1," ")</f>
        <v/>
      </c>
      <c r="C946" s="59">
        <f>IF(B946&lt;&gt;" ",CONCATENATE(A946,B946)," ")</f>
        <v/>
      </c>
      <c r="J946" s="71" t="n"/>
    </row>
    <row r="947">
      <c r="A947" s="62" t="inlineStr">
        <is>
          <t>C</t>
        </is>
      </c>
      <c r="B947" s="60">
        <f>IF(E947&gt;1/1/2001,B946+1," ")</f>
        <v/>
      </c>
      <c r="C947" s="59">
        <f>IF(B947&lt;&gt;" ",CONCATENATE(A947,B947)," ")</f>
        <v/>
      </c>
      <c r="J947" s="71" t="n"/>
    </row>
    <row r="948">
      <c r="A948" s="62" t="inlineStr">
        <is>
          <t>C</t>
        </is>
      </c>
      <c r="B948" s="60">
        <f>IF(E948&gt;1/1/2001,B947+1," ")</f>
        <v/>
      </c>
      <c r="C948" s="59">
        <f>IF(B948&lt;&gt;" ",CONCATENATE(A948,B948)," ")</f>
        <v/>
      </c>
      <c r="J948" s="71" t="n"/>
    </row>
    <row r="949">
      <c r="A949" s="62" t="inlineStr">
        <is>
          <t>C</t>
        </is>
      </c>
      <c r="B949" s="60">
        <f>IF(E949&gt;1/1/2001,B948+1," ")</f>
        <v/>
      </c>
      <c r="C949" s="59">
        <f>IF(B949&lt;&gt;" ",CONCATENATE(A949,B949)," ")</f>
        <v/>
      </c>
      <c r="J949" s="71" t="n"/>
    </row>
    <row r="950">
      <c r="A950" s="62" t="inlineStr">
        <is>
          <t>C</t>
        </is>
      </c>
      <c r="B950" s="60">
        <f>IF(E950&gt;1/1/2001,B949+1," ")</f>
        <v/>
      </c>
      <c r="C950" s="59">
        <f>IF(B950&lt;&gt;" ",CONCATENATE(A950,B950)," ")</f>
        <v/>
      </c>
      <c r="J950" s="71" t="n"/>
    </row>
    <row r="951">
      <c r="A951" s="62" t="inlineStr">
        <is>
          <t>C</t>
        </is>
      </c>
      <c r="B951" s="60">
        <f>IF(E951&gt;1/1/2001,B950+1," ")</f>
        <v/>
      </c>
      <c r="C951" s="59">
        <f>IF(B951&lt;&gt;" ",CONCATENATE(A951,B951)," ")</f>
        <v/>
      </c>
      <c r="J951" s="71" t="n"/>
    </row>
    <row r="952">
      <c r="A952" s="62" t="inlineStr">
        <is>
          <t>C</t>
        </is>
      </c>
      <c r="B952" s="60">
        <f>IF(E952&gt;1/1/2001,B951+1," ")</f>
        <v/>
      </c>
      <c r="C952" s="59">
        <f>IF(B952&lt;&gt;" ",CONCATENATE(A952,B952)," ")</f>
        <v/>
      </c>
      <c r="J952" s="71" t="n"/>
    </row>
    <row r="953">
      <c r="A953" s="62" t="inlineStr">
        <is>
          <t>C</t>
        </is>
      </c>
      <c r="B953" s="60">
        <f>IF(E953&gt;1/1/2001,B952+1," ")</f>
        <v/>
      </c>
      <c r="C953" s="59">
        <f>IF(B953&lt;&gt;" ",CONCATENATE(A953,B953)," ")</f>
        <v/>
      </c>
      <c r="J953" s="71" t="n"/>
    </row>
    <row r="954">
      <c r="A954" s="62" t="inlineStr">
        <is>
          <t>C</t>
        </is>
      </c>
      <c r="B954" s="60">
        <f>IF(E954&gt;1/1/2001,B953+1," ")</f>
        <v/>
      </c>
      <c r="C954" s="59">
        <f>IF(B954&lt;&gt;" ",CONCATENATE(A954,B954)," ")</f>
        <v/>
      </c>
      <c r="J954" s="71" t="n"/>
    </row>
    <row r="955">
      <c r="A955" s="62" t="inlineStr">
        <is>
          <t>C</t>
        </is>
      </c>
      <c r="B955" s="60">
        <f>IF(E955&gt;1/1/2001,B954+1," ")</f>
        <v/>
      </c>
      <c r="C955" s="59">
        <f>IF(B955&lt;&gt;" ",CONCATENATE(A955,B955)," ")</f>
        <v/>
      </c>
      <c r="J955" s="71" t="n"/>
    </row>
    <row r="956">
      <c r="A956" s="62" t="inlineStr">
        <is>
          <t>C</t>
        </is>
      </c>
      <c r="B956" s="60">
        <f>IF(E956&gt;1/1/2001,B955+1," ")</f>
        <v/>
      </c>
      <c r="C956" s="59">
        <f>IF(B956&lt;&gt;" ",CONCATENATE(A956,B956)," ")</f>
        <v/>
      </c>
      <c r="J956" s="71" t="n"/>
    </row>
    <row r="957">
      <c r="A957" s="62" t="inlineStr">
        <is>
          <t>C</t>
        </is>
      </c>
      <c r="B957" s="60">
        <f>IF(E957&gt;1/1/2001,B956+1," ")</f>
        <v/>
      </c>
      <c r="C957" s="59">
        <f>IF(B957&lt;&gt;" ",CONCATENATE(A957,B957)," ")</f>
        <v/>
      </c>
      <c r="J957" s="71" t="n"/>
    </row>
    <row r="958">
      <c r="A958" s="62" t="inlineStr">
        <is>
          <t>C</t>
        </is>
      </c>
      <c r="B958" s="60">
        <f>IF(E958&gt;1/1/2001,B957+1," ")</f>
        <v/>
      </c>
      <c r="C958" s="59">
        <f>IF(B958&lt;&gt;" ",CONCATENATE(A958,B958)," ")</f>
        <v/>
      </c>
      <c r="J958" s="71" t="n"/>
    </row>
    <row r="959">
      <c r="A959" s="62" t="inlineStr">
        <is>
          <t>C</t>
        </is>
      </c>
      <c r="B959" s="60">
        <f>IF(E959&gt;1/1/2001,B958+1," ")</f>
        <v/>
      </c>
      <c r="C959" s="59">
        <f>IF(B959&lt;&gt;" ",CONCATENATE(A959,B959)," ")</f>
        <v/>
      </c>
      <c r="J959" s="71" t="n"/>
    </row>
    <row r="960">
      <c r="A960" s="62" t="inlineStr">
        <is>
          <t>C</t>
        </is>
      </c>
      <c r="B960" s="60">
        <f>IF(E960&gt;1/1/2001,B959+1," ")</f>
        <v/>
      </c>
      <c r="C960" s="59">
        <f>IF(B960&lt;&gt;" ",CONCATENATE(A960,B960)," ")</f>
        <v/>
      </c>
      <c r="J960" s="71" t="n"/>
    </row>
    <row r="961">
      <c r="A961" s="62" t="inlineStr">
        <is>
          <t>C</t>
        </is>
      </c>
      <c r="B961" s="60">
        <f>IF(E961&gt;1/1/2001,B960+1," ")</f>
        <v/>
      </c>
      <c r="C961" s="59">
        <f>IF(B961&lt;&gt;" ",CONCATENATE(A961,B961)," ")</f>
        <v/>
      </c>
      <c r="J961" s="71" t="n"/>
    </row>
    <row r="962">
      <c r="A962" s="62" t="inlineStr">
        <is>
          <t>C</t>
        </is>
      </c>
      <c r="B962" s="60">
        <f>IF(E962&gt;1/1/2001,B961+1," ")</f>
        <v/>
      </c>
      <c r="C962" s="59">
        <f>IF(B962&lt;&gt;" ",CONCATENATE(A962,B962)," ")</f>
        <v/>
      </c>
      <c r="J962" s="71" t="n"/>
    </row>
    <row r="963">
      <c r="A963" s="62" t="inlineStr">
        <is>
          <t>C</t>
        </is>
      </c>
      <c r="B963" s="60">
        <f>IF(E963&gt;1/1/2001,B962+1," ")</f>
        <v/>
      </c>
      <c r="C963" s="59">
        <f>IF(B963&lt;&gt;" ",CONCATENATE(A963,B963)," ")</f>
        <v/>
      </c>
      <c r="J963" s="71" t="n"/>
    </row>
    <row r="964">
      <c r="A964" s="62" t="inlineStr">
        <is>
          <t>C</t>
        </is>
      </c>
      <c r="B964" s="60">
        <f>IF(E964&gt;1/1/2001,B963+1," ")</f>
        <v/>
      </c>
      <c r="C964" s="59">
        <f>IF(B964&lt;&gt;" ",CONCATENATE(A964,B964)," ")</f>
        <v/>
      </c>
      <c r="J964" s="71" t="n"/>
    </row>
    <row r="965">
      <c r="A965" s="62" t="inlineStr">
        <is>
          <t>C</t>
        </is>
      </c>
      <c r="B965" s="60">
        <f>IF(E965&gt;1/1/2001,B964+1," ")</f>
        <v/>
      </c>
      <c r="C965" s="59">
        <f>IF(B965&lt;&gt;" ",CONCATENATE(A965,B965)," ")</f>
        <v/>
      </c>
      <c r="J965" s="71" t="n"/>
    </row>
    <row r="966">
      <c r="A966" s="62" t="inlineStr">
        <is>
          <t>C</t>
        </is>
      </c>
      <c r="B966" s="60">
        <f>IF(E966&gt;1/1/2001,B965+1," ")</f>
        <v/>
      </c>
      <c r="C966" s="59">
        <f>IF(B966&lt;&gt;" ",CONCATENATE(A966,B966)," ")</f>
        <v/>
      </c>
      <c r="J966" s="71" t="n"/>
    </row>
    <row r="967">
      <c r="A967" s="62" t="inlineStr">
        <is>
          <t>C</t>
        </is>
      </c>
      <c r="B967" s="60">
        <f>IF(E967&gt;1/1/2001,B966+1," ")</f>
        <v/>
      </c>
      <c r="C967" s="59">
        <f>IF(B967&lt;&gt;" ",CONCATENATE(A967,B967)," ")</f>
        <v/>
      </c>
      <c r="J967" s="71" t="n"/>
    </row>
    <row r="968">
      <c r="A968" s="62" t="inlineStr">
        <is>
          <t>C</t>
        </is>
      </c>
      <c r="B968" s="60">
        <f>IF(E968&gt;1/1/2001,B967+1," ")</f>
        <v/>
      </c>
      <c r="C968" s="59">
        <f>IF(B968&lt;&gt;" ",CONCATENATE(A968,B968)," ")</f>
        <v/>
      </c>
      <c r="J968" s="71" t="n"/>
    </row>
    <row r="969">
      <c r="A969" s="62" t="inlineStr">
        <is>
          <t>C</t>
        </is>
      </c>
      <c r="B969" s="60">
        <f>IF(E969&gt;1/1/2001,B968+1," ")</f>
        <v/>
      </c>
      <c r="C969" s="59">
        <f>IF(B969&lt;&gt;" ",CONCATENATE(A969,B969)," ")</f>
        <v/>
      </c>
      <c r="J969" s="71" t="n"/>
    </row>
    <row r="970">
      <c r="A970" s="62" t="inlineStr">
        <is>
          <t>C</t>
        </is>
      </c>
      <c r="B970" s="60">
        <f>IF(E970&gt;1/1/2001,B969+1," ")</f>
        <v/>
      </c>
      <c r="C970" s="59">
        <f>IF(B970&lt;&gt;" ",CONCATENATE(A970,B970)," ")</f>
        <v/>
      </c>
      <c r="J970" s="71" t="n"/>
    </row>
    <row r="971">
      <c r="A971" s="62" t="inlineStr">
        <is>
          <t>C</t>
        </is>
      </c>
      <c r="B971" s="60">
        <f>IF(E971&gt;1/1/2001,B970+1," ")</f>
        <v/>
      </c>
      <c r="C971" s="59">
        <f>IF(B971&lt;&gt;" ",CONCATENATE(A971,B971)," ")</f>
        <v/>
      </c>
      <c r="J971" s="71" t="n"/>
    </row>
    <row r="972">
      <c r="A972" s="62" t="inlineStr">
        <is>
          <t>C</t>
        </is>
      </c>
      <c r="B972" s="60">
        <f>IF(E972&gt;1/1/2001,B971+1," ")</f>
        <v/>
      </c>
      <c r="C972" s="59">
        <f>IF(B972&lt;&gt;" ",CONCATENATE(A972,B972)," ")</f>
        <v/>
      </c>
      <c r="J972" s="71" t="n"/>
    </row>
    <row r="973">
      <c r="A973" s="62" t="inlineStr">
        <is>
          <t>C</t>
        </is>
      </c>
      <c r="B973" s="60">
        <f>IF(E973&gt;1/1/2001,B972+1," ")</f>
        <v/>
      </c>
      <c r="C973" s="59">
        <f>IF(B973&lt;&gt;" ",CONCATENATE(A973,B973)," ")</f>
        <v/>
      </c>
      <c r="J973" s="71" t="n"/>
    </row>
    <row r="974">
      <c r="A974" s="62" t="inlineStr">
        <is>
          <t>C</t>
        </is>
      </c>
      <c r="B974" s="60">
        <f>IF(E974&gt;1/1/2001,B973+1," ")</f>
        <v/>
      </c>
      <c r="C974" s="59">
        <f>IF(B974&lt;&gt;" ",CONCATENATE(A974,B974)," ")</f>
        <v/>
      </c>
      <c r="J974" s="71" t="n"/>
    </row>
    <row r="975">
      <c r="A975" s="62" t="inlineStr">
        <is>
          <t>C</t>
        </is>
      </c>
      <c r="B975" s="60">
        <f>IF(E975&gt;1/1/2001,B974+1," ")</f>
        <v/>
      </c>
      <c r="C975" s="59">
        <f>IF(B975&lt;&gt;" ",CONCATENATE(A975,B975)," ")</f>
        <v/>
      </c>
      <c r="J975" s="71" t="n"/>
    </row>
    <row r="976">
      <c r="A976" s="62" t="inlineStr">
        <is>
          <t>C</t>
        </is>
      </c>
      <c r="B976" s="60">
        <f>IF(E976&gt;1/1/2001,B975+1," ")</f>
        <v/>
      </c>
      <c r="C976" s="59">
        <f>IF(B976&lt;&gt;" ",CONCATENATE(A976,B976)," ")</f>
        <v/>
      </c>
      <c r="J976" s="71" t="n"/>
    </row>
    <row r="977">
      <c r="A977" s="62" t="inlineStr">
        <is>
          <t>C</t>
        </is>
      </c>
      <c r="B977" s="60">
        <f>IF(E977&gt;1/1/2001,B976+1," ")</f>
        <v/>
      </c>
      <c r="C977" s="59">
        <f>IF(B977&lt;&gt;" ",CONCATENATE(A977,B977)," ")</f>
        <v/>
      </c>
      <c r="J977" s="71" t="n"/>
    </row>
    <row r="978">
      <c r="A978" s="62" t="inlineStr">
        <is>
          <t>C</t>
        </is>
      </c>
      <c r="B978" s="60">
        <f>IF(E978&gt;1/1/2001,B977+1," ")</f>
        <v/>
      </c>
      <c r="C978" s="59">
        <f>IF(B978&lt;&gt;" ",CONCATENATE(A978,B978)," ")</f>
        <v/>
      </c>
      <c r="J978" s="71" t="n"/>
    </row>
    <row r="979">
      <c r="A979" s="62" t="inlineStr">
        <is>
          <t>C</t>
        </is>
      </c>
      <c r="B979" s="60">
        <f>IF(E979&gt;1/1/2001,B978+1," ")</f>
        <v/>
      </c>
      <c r="C979" s="59">
        <f>IF(B979&lt;&gt;" ",CONCATENATE(A979,B979)," ")</f>
        <v/>
      </c>
      <c r="J979" s="71" t="n"/>
    </row>
    <row r="980">
      <c r="A980" s="62" t="inlineStr">
        <is>
          <t>C</t>
        </is>
      </c>
      <c r="B980" s="60">
        <f>IF(E980&gt;1/1/2001,B979+1," ")</f>
        <v/>
      </c>
      <c r="C980" s="59">
        <f>IF(B980&lt;&gt;" ",CONCATENATE(A980,B980)," ")</f>
        <v/>
      </c>
      <c r="J980" s="71" t="n"/>
    </row>
    <row r="981">
      <c r="A981" s="62" t="inlineStr">
        <is>
          <t>C</t>
        </is>
      </c>
      <c r="B981" s="60">
        <f>IF(E981&gt;1/1/2001,B980+1," ")</f>
        <v/>
      </c>
      <c r="C981" s="59">
        <f>IF(B981&lt;&gt;" ",CONCATENATE(A981,B981)," ")</f>
        <v/>
      </c>
      <c r="J981" s="71" t="n"/>
    </row>
    <row r="982">
      <c r="A982" s="62" t="inlineStr">
        <is>
          <t>C</t>
        </is>
      </c>
      <c r="B982" s="60">
        <f>IF(E982&gt;1/1/2001,B981+1," ")</f>
        <v/>
      </c>
      <c r="C982" s="59">
        <f>IF(B982&lt;&gt;" ",CONCATENATE(A982,B982)," ")</f>
        <v/>
      </c>
      <c r="J982" s="71" t="n"/>
    </row>
    <row r="983">
      <c r="A983" s="62" t="inlineStr">
        <is>
          <t>C</t>
        </is>
      </c>
      <c r="B983" s="60">
        <f>IF(E983&gt;1/1/2001,B982+1," ")</f>
        <v/>
      </c>
      <c r="C983" s="59">
        <f>IF(B983&lt;&gt;" ",CONCATENATE(A983,B983)," ")</f>
        <v/>
      </c>
      <c r="J983" s="71" t="n"/>
    </row>
    <row r="984">
      <c r="A984" s="62" t="inlineStr">
        <is>
          <t>C</t>
        </is>
      </c>
      <c r="B984" s="60">
        <f>IF(E984&gt;1/1/2001,B983+1," ")</f>
        <v/>
      </c>
      <c r="C984" s="59">
        <f>IF(B984&lt;&gt;" ",CONCATENATE(A984,B984)," ")</f>
        <v/>
      </c>
      <c r="J984" s="71" t="n"/>
    </row>
    <row r="985">
      <c r="A985" s="62" t="inlineStr">
        <is>
          <t>C</t>
        </is>
      </c>
      <c r="B985" s="60">
        <f>IF(E985&gt;1/1/2001,B984+1," ")</f>
        <v/>
      </c>
      <c r="C985" s="59">
        <f>IF(B985&lt;&gt;" ",CONCATENATE(A985,B985)," ")</f>
        <v/>
      </c>
      <c r="J985" s="71" t="n"/>
    </row>
    <row r="986">
      <c r="A986" s="62" t="inlineStr">
        <is>
          <t>C</t>
        </is>
      </c>
      <c r="B986" s="60">
        <f>IF(E986&gt;1/1/2001,B985+1," ")</f>
        <v/>
      </c>
      <c r="C986" s="59">
        <f>IF(B986&lt;&gt;" ",CONCATENATE(A986,B986)," ")</f>
        <v/>
      </c>
      <c r="J986" s="71" t="n"/>
    </row>
    <row r="987">
      <c r="A987" s="62" t="inlineStr">
        <is>
          <t>C</t>
        </is>
      </c>
      <c r="B987" s="60">
        <f>IF(E987&gt;1/1/2001,B986+1," ")</f>
        <v/>
      </c>
      <c r="C987" s="59">
        <f>IF(B987&lt;&gt;" ",CONCATENATE(A987,B987)," ")</f>
        <v/>
      </c>
      <c r="J987" s="71" t="n"/>
    </row>
    <row r="988">
      <c r="A988" s="62" t="inlineStr">
        <is>
          <t>C</t>
        </is>
      </c>
      <c r="B988" s="60">
        <f>IF(E988&gt;1/1/2001,B987+1," ")</f>
        <v/>
      </c>
      <c r="C988" s="59">
        <f>IF(B988&lt;&gt;" ",CONCATENATE(A988,B988)," ")</f>
        <v/>
      </c>
      <c r="J988" s="71" t="n"/>
    </row>
    <row r="989">
      <c r="A989" s="62" t="inlineStr">
        <is>
          <t>C</t>
        </is>
      </c>
      <c r="B989" s="60">
        <f>IF(E989&gt;1/1/2001,B988+1," ")</f>
        <v/>
      </c>
      <c r="C989" s="59">
        <f>IF(B989&lt;&gt;" ",CONCATENATE(A989,B989)," ")</f>
        <v/>
      </c>
      <c r="J989" s="71" t="n"/>
    </row>
    <row r="990">
      <c r="A990" s="62" t="inlineStr">
        <is>
          <t>C</t>
        </is>
      </c>
      <c r="B990" s="60">
        <f>IF(E990&gt;1/1/2001,B989+1," ")</f>
        <v/>
      </c>
      <c r="C990" s="59">
        <f>IF(B990&lt;&gt;" ",CONCATENATE(A990,B990)," ")</f>
        <v/>
      </c>
      <c r="J990" s="71" t="n"/>
    </row>
    <row r="991">
      <c r="A991" s="62" t="inlineStr">
        <is>
          <t>C</t>
        </is>
      </c>
      <c r="B991" s="60">
        <f>IF(E991&gt;1/1/2001,B990+1," ")</f>
        <v/>
      </c>
      <c r="C991" s="59">
        <f>IF(B991&lt;&gt;" ",CONCATENATE(A991,B991)," ")</f>
        <v/>
      </c>
      <c r="J991" s="71" t="n"/>
    </row>
    <row r="992">
      <c r="A992" s="62" t="inlineStr">
        <is>
          <t>C</t>
        </is>
      </c>
      <c r="B992" s="60">
        <f>IF(E992&gt;1/1/2001,B991+1," ")</f>
        <v/>
      </c>
      <c r="C992" s="59">
        <f>IF(B992&lt;&gt;" ",CONCATENATE(A992,B992)," ")</f>
        <v/>
      </c>
      <c r="J992" s="71" t="n"/>
    </row>
    <row r="993">
      <c r="A993" s="62" t="inlineStr">
        <is>
          <t>C</t>
        </is>
      </c>
      <c r="B993" s="60">
        <f>IF(E993&gt;1/1/2001,B992+1," ")</f>
        <v/>
      </c>
      <c r="C993" s="59">
        <f>IF(B993&lt;&gt;" ",CONCATENATE(A993,B993)," ")</f>
        <v/>
      </c>
      <c r="J993" s="71" t="n"/>
    </row>
    <row r="994">
      <c r="A994" s="62" t="inlineStr">
        <is>
          <t>C</t>
        </is>
      </c>
      <c r="B994" s="60">
        <f>IF(E994&gt;1/1/2001,B993+1," ")</f>
        <v/>
      </c>
      <c r="C994" s="59">
        <f>IF(B994&lt;&gt;" ",CONCATENATE(A994,B994)," ")</f>
        <v/>
      </c>
      <c r="J994" s="71" t="n"/>
    </row>
    <row r="995">
      <c r="A995" s="62" t="inlineStr">
        <is>
          <t>C</t>
        </is>
      </c>
      <c r="B995" s="60">
        <f>IF(E995&gt;1/1/2001,B994+1," ")</f>
        <v/>
      </c>
      <c r="C995" s="59">
        <f>IF(B995&lt;&gt;" ",CONCATENATE(A995,B995)," ")</f>
        <v/>
      </c>
      <c r="J995" s="71" t="n"/>
    </row>
    <row r="996">
      <c r="A996" s="62" t="inlineStr">
        <is>
          <t>C</t>
        </is>
      </c>
      <c r="B996" s="60">
        <f>IF(E996&gt;1/1/2001,B995+1," ")</f>
        <v/>
      </c>
      <c r="C996" s="59">
        <f>IF(B996&lt;&gt;" ",CONCATENATE(A996,B996)," ")</f>
        <v/>
      </c>
      <c r="J996" s="71" t="n"/>
    </row>
    <row r="997">
      <c r="A997" s="62" t="inlineStr">
        <is>
          <t>C</t>
        </is>
      </c>
      <c r="B997" s="60">
        <f>IF(E997&gt;1/1/2001,B996+1," ")</f>
        <v/>
      </c>
      <c r="C997" s="59">
        <f>IF(B997&lt;&gt;" ",CONCATENATE(A997,B997)," ")</f>
        <v/>
      </c>
      <c r="J997" s="71" t="n"/>
    </row>
    <row r="998">
      <c r="A998" s="62" t="inlineStr">
        <is>
          <t>C</t>
        </is>
      </c>
      <c r="B998" s="60">
        <f>IF(E998&gt;1/1/2001,B997+1," ")</f>
        <v/>
      </c>
      <c r="C998" s="59">
        <f>IF(B998&lt;&gt;" ",CONCATENATE(A998,B998)," ")</f>
        <v/>
      </c>
      <c r="J998" s="71" t="n"/>
    </row>
    <row r="999">
      <c r="A999" s="62" t="inlineStr">
        <is>
          <t>C</t>
        </is>
      </c>
      <c r="B999" s="60">
        <f>IF(E999&gt;1/1/2001,B998+1," ")</f>
        <v/>
      </c>
      <c r="C999" s="59">
        <f>IF(B999&lt;&gt;" ",CONCATENATE(A999,B999)," ")</f>
        <v/>
      </c>
      <c r="J999" s="71" t="n"/>
    </row>
    <row r="1000">
      <c r="A1000" s="62" t="inlineStr">
        <is>
          <t>C</t>
        </is>
      </c>
      <c r="B1000" s="60">
        <f>IF(E1000&gt;1/1/2001,B999+1," ")</f>
        <v/>
      </c>
      <c r="C1000" s="59">
        <f>IF(B1000&lt;&gt;" ",CONCATENATE(A1000,B1000)," ")</f>
        <v/>
      </c>
      <c r="J1000" s="71" t="n"/>
    </row>
    <row r="1001">
      <c r="A1001" s="62" t="inlineStr">
        <is>
          <t>C</t>
        </is>
      </c>
      <c r="B1001" s="60">
        <f>IF(E1001&gt;1/1/2001,B1000+1," ")</f>
        <v/>
      </c>
      <c r="C1001" s="59">
        <f>IF(B1001&lt;&gt;" ",CONCATENATE(A1001,B1001)," ")</f>
        <v/>
      </c>
      <c r="J1001" s="71" t="n"/>
    </row>
    <row r="1002">
      <c r="A1002" s="62" t="inlineStr">
        <is>
          <t>C</t>
        </is>
      </c>
      <c r="B1002" s="60">
        <f>IF(E1002&gt;1/1/2001,B1001+1," ")</f>
        <v/>
      </c>
      <c r="C1002" s="59">
        <f>IF(B1002&lt;&gt;" ",CONCATENATE(A1002,B1002)," ")</f>
        <v/>
      </c>
      <c r="J1002" s="71" t="n"/>
    </row>
    <row r="1003">
      <c r="A1003" s="62" t="inlineStr">
        <is>
          <t>C</t>
        </is>
      </c>
      <c r="B1003" s="60">
        <f>IF(E1003&gt;1/1/2001,B1002+1," ")</f>
        <v/>
      </c>
      <c r="C1003" s="59">
        <f>IF(B1003&lt;&gt;" ",CONCATENATE(A1003,B1003)," ")</f>
        <v/>
      </c>
      <c r="J1003" s="71" t="n"/>
    </row>
    <row r="1004">
      <c r="A1004" s="62" t="inlineStr">
        <is>
          <t>C</t>
        </is>
      </c>
      <c r="B1004" s="60">
        <f>IF(E1004&gt;1/1/2001,B1003+1," ")</f>
        <v/>
      </c>
      <c r="C1004" s="59">
        <f>IF(B1004&lt;&gt;" ",CONCATENATE(A1004,B1004)," ")</f>
        <v/>
      </c>
      <c r="J1004" s="71" t="n"/>
    </row>
    <row r="1005">
      <c r="A1005" s="62" t="inlineStr">
        <is>
          <t>C</t>
        </is>
      </c>
      <c r="B1005" s="60">
        <f>IF(E1005&gt;1/1/2001,B1004+1," ")</f>
        <v/>
      </c>
      <c r="C1005" s="59">
        <f>IF(B1005&lt;&gt;" ",CONCATENATE(A1005,B1005)," ")</f>
        <v/>
      </c>
      <c r="J1005" s="71" t="n"/>
    </row>
    <row r="1006">
      <c r="A1006" s="62" t="inlineStr">
        <is>
          <t>C</t>
        </is>
      </c>
      <c r="B1006" s="60">
        <f>IF(E1006&gt;1/1/2001,B1005+1," ")</f>
        <v/>
      </c>
      <c r="C1006" s="59">
        <f>IF(B1006&lt;&gt;" ",CONCATENATE(A1006,B1006)," ")</f>
        <v/>
      </c>
      <c r="J1006" s="71" t="n"/>
    </row>
    <row r="1007">
      <c r="A1007" s="62" t="inlineStr">
        <is>
          <t>C</t>
        </is>
      </c>
      <c r="B1007" s="60">
        <f>IF(E1007&gt;1/1/2001,B1006+1," ")</f>
        <v/>
      </c>
      <c r="C1007" s="59">
        <f>IF(B1007&lt;&gt;" ",CONCATENATE(A1007,B1007)," ")</f>
        <v/>
      </c>
      <c r="J1007" s="71" t="n"/>
    </row>
    <row r="1008">
      <c r="A1008" s="62" t="inlineStr">
        <is>
          <t>C</t>
        </is>
      </c>
      <c r="B1008" s="60">
        <f>IF(E1008&gt;1/1/2001,B1007+1," ")</f>
        <v/>
      </c>
      <c r="C1008" s="59">
        <f>IF(B1008&lt;&gt;" ",CONCATENATE(A1008,B1008)," ")</f>
        <v/>
      </c>
      <c r="J1008" s="71" t="n"/>
    </row>
    <row r="1009">
      <c r="A1009" s="62" t="inlineStr">
        <is>
          <t>C</t>
        </is>
      </c>
      <c r="B1009" s="60">
        <f>IF(E1009&gt;1/1/2001,B1008+1," ")</f>
        <v/>
      </c>
      <c r="C1009" s="59">
        <f>IF(B1009&lt;&gt;" ",CONCATENATE(A1009,B1009)," ")</f>
        <v/>
      </c>
      <c r="J1009" s="71" t="n"/>
    </row>
    <row r="1010">
      <c r="A1010" s="62" t="inlineStr">
        <is>
          <t>C</t>
        </is>
      </c>
      <c r="B1010" s="60">
        <f>IF(E1010&gt;1/1/2001,B1009+1," ")</f>
        <v/>
      </c>
      <c r="C1010" s="59">
        <f>IF(B1010&lt;&gt;" ",CONCATENATE(A1010,B1010)," ")</f>
        <v/>
      </c>
      <c r="J1010" s="71" t="n"/>
    </row>
    <row r="1011">
      <c r="A1011" s="62" t="inlineStr">
        <is>
          <t>C</t>
        </is>
      </c>
      <c r="B1011" s="60">
        <f>IF(E1011&gt;1/1/2001,B1010+1," ")</f>
        <v/>
      </c>
      <c r="C1011" s="59">
        <f>IF(B1011&lt;&gt;" ",CONCATENATE(A1011,B1011)," ")</f>
        <v/>
      </c>
      <c r="J1011" s="71" t="n"/>
    </row>
    <row r="1012">
      <c r="A1012" s="62" t="inlineStr">
        <is>
          <t>C</t>
        </is>
      </c>
      <c r="B1012" s="60">
        <f>IF(E1012&gt;1/1/2001,B1011+1," ")</f>
        <v/>
      </c>
      <c r="C1012" s="59">
        <f>IF(B1012&lt;&gt;" ",CONCATENATE(A1012,B1012)," ")</f>
        <v/>
      </c>
      <c r="J1012" s="71" t="n"/>
    </row>
    <row r="1013">
      <c r="A1013" s="62" t="inlineStr">
        <is>
          <t>C</t>
        </is>
      </c>
      <c r="B1013" s="60">
        <f>IF(E1013&gt;1/1/2001,B1012+1," ")</f>
        <v/>
      </c>
      <c r="C1013" s="59">
        <f>IF(B1013&lt;&gt;" ",CONCATENATE(A1013,B1013)," ")</f>
        <v/>
      </c>
      <c r="J1013" s="71" t="n"/>
    </row>
    <row r="1014">
      <c r="A1014" s="62" t="inlineStr">
        <is>
          <t>C</t>
        </is>
      </c>
      <c r="B1014" s="60">
        <f>IF(E1014&gt;1/1/2001,B1013+1," ")</f>
        <v/>
      </c>
      <c r="C1014" s="59">
        <f>IF(B1014&lt;&gt;" ",CONCATENATE(A1014,B1014)," ")</f>
        <v/>
      </c>
      <c r="J1014" s="71" t="n"/>
    </row>
    <row r="1015">
      <c r="A1015" s="62" t="inlineStr">
        <is>
          <t>C</t>
        </is>
      </c>
      <c r="B1015" s="60">
        <f>IF(E1015&gt;1/1/2001,B1014+1," ")</f>
        <v/>
      </c>
      <c r="C1015" s="59">
        <f>IF(B1015&lt;&gt;" ",CONCATENATE(A1015,B1015)," ")</f>
        <v/>
      </c>
      <c r="J1015" s="71" t="n"/>
    </row>
    <row r="1016">
      <c r="A1016" s="62" t="inlineStr">
        <is>
          <t>C</t>
        </is>
      </c>
      <c r="B1016" s="60">
        <f>IF(E1016&gt;1/1/2001,B1015+1," ")</f>
        <v/>
      </c>
      <c r="C1016" s="59">
        <f>IF(B1016&lt;&gt;" ",CONCATENATE(A1016,B1016)," ")</f>
        <v/>
      </c>
      <c r="J1016" s="71" t="n"/>
    </row>
    <row r="1017">
      <c r="A1017" s="62" t="inlineStr">
        <is>
          <t>C</t>
        </is>
      </c>
      <c r="B1017" s="60">
        <f>IF(E1017&gt;1/1/2001,B1016+1," ")</f>
        <v/>
      </c>
      <c r="C1017" s="59">
        <f>IF(B1017&lt;&gt;" ",CONCATENATE(A1017,B1017)," ")</f>
        <v/>
      </c>
      <c r="J1017" s="71" t="n"/>
    </row>
    <row r="1018">
      <c r="A1018" s="62" t="inlineStr">
        <is>
          <t>C</t>
        </is>
      </c>
      <c r="B1018" s="60">
        <f>IF(E1018&gt;1/1/2001,B1017+1," ")</f>
        <v/>
      </c>
      <c r="C1018" s="59">
        <f>IF(B1018&lt;&gt;" ",CONCATENATE(A1018,B1018)," ")</f>
        <v/>
      </c>
      <c r="J1018" s="71" t="n"/>
    </row>
    <row r="1019">
      <c r="A1019" s="62" t="inlineStr">
        <is>
          <t>C</t>
        </is>
      </c>
      <c r="B1019" s="60">
        <f>IF(E1019&gt;1/1/2001,B1018+1," ")</f>
        <v/>
      </c>
      <c r="C1019" s="59">
        <f>IF(B1019&lt;&gt;" ",CONCATENATE(A1019,B1019)," ")</f>
        <v/>
      </c>
      <c r="J1019" s="71" t="n"/>
    </row>
    <row r="1020">
      <c r="A1020" s="62" t="inlineStr">
        <is>
          <t>C</t>
        </is>
      </c>
      <c r="B1020" s="60">
        <f>IF(E1020&gt;1/1/2001,B1019+1," ")</f>
        <v/>
      </c>
      <c r="C1020" s="59">
        <f>IF(B1020&lt;&gt;" ",CONCATENATE(A1020,B1020)," ")</f>
        <v/>
      </c>
      <c r="J1020" s="71" t="n"/>
    </row>
    <row r="1021">
      <c r="A1021" s="62" t="inlineStr">
        <is>
          <t>C</t>
        </is>
      </c>
      <c r="B1021" s="60">
        <f>IF(E1021&gt;1/1/2001,B1020+1," ")</f>
        <v/>
      </c>
      <c r="C1021" s="59">
        <f>IF(B1021&lt;&gt;" ",CONCATENATE(A1021,B1021)," ")</f>
        <v/>
      </c>
      <c r="J1021" s="71" t="n"/>
    </row>
    <row r="1022">
      <c r="A1022" s="62" t="inlineStr">
        <is>
          <t>C</t>
        </is>
      </c>
      <c r="B1022" s="60">
        <f>IF(E1022&gt;1/1/2001,B1021+1," ")</f>
        <v/>
      </c>
      <c r="C1022" s="59">
        <f>IF(B1022&lt;&gt;" ",CONCATENATE(A1022,B1022)," ")</f>
        <v/>
      </c>
      <c r="J1022" s="71" t="n"/>
    </row>
    <row r="1023">
      <c r="A1023" s="62" t="inlineStr">
        <is>
          <t>C</t>
        </is>
      </c>
      <c r="B1023" s="60">
        <f>IF(E1023&gt;1/1/2001,B1022+1," ")</f>
        <v/>
      </c>
      <c r="C1023" s="59">
        <f>IF(B1023&lt;&gt;" ",CONCATENATE(A1023,B1023)," ")</f>
        <v/>
      </c>
      <c r="J1023" s="71" t="n"/>
    </row>
    <row r="1024">
      <c r="A1024" s="62" t="inlineStr">
        <is>
          <t>C</t>
        </is>
      </c>
      <c r="B1024" s="60">
        <f>IF(E1024&gt;1/1/2001,B1023+1," ")</f>
        <v/>
      </c>
      <c r="C1024" s="59">
        <f>IF(B1024&lt;&gt;" ",CONCATENATE(A1024,B1024)," ")</f>
        <v/>
      </c>
      <c r="J1024" s="71" t="n"/>
    </row>
    <row r="1025">
      <c r="A1025" s="62" t="inlineStr">
        <is>
          <t>C</t>
        </is>
      </c>
      <c r="B1025" s="60">
        <f>IF(E1025&gt;1/1/2001,B1024+1," ")</f>
        <v/>
      </c>
      <c r="C1025" s="59">
        <f>IF(B1025&lt;&gt;" ",CONCATENATE(A1025,B1025)," ")</f>
        <v/>
      </c>
      <c r="J1025" s="71" t="n"/>
    </row>
    <row r="1026">
      <c r="A1026" s="62" t="inlineStr">
        <is>
          <t>C</t>
        </is>
      </c>
      <c r="B1026" s="60">
        <f>IF(E1026&gt;1/1/2001,B1025+1," ")</f>
        <v/>
      </c>
      <c r="C1026" s="59">
        <f>IF(B1026&lt;&gt;" ",CONCATENATE(A1026,B1026)," ")</f>
        <v/>
      </c>
      <c r="J1026" s="71" t="n"/>
    </row>
    <row r="1027">
      <c r="A1027" s="62" t="inlineStr">
        <is>
          <t>C</t>
        </is>
      </c>
      <c r="B1027" s="60">
        <f>IF(E1027&gt;1/1/2001,B1026+1," ")</f>
        <v/>
      </c>
      <c r="C1027" s="59">
        <f>IF(B1027&lt;&gt;" ",CONCATENATE(A1027,B1027)," ")</f>
        <v/>
      </c>
      <c r="J1027" s="71" t="n"/>
    </row>
    <row r="1028">
      <c r="A1028" s="62" t="inlineStr">
        <is>
          <t>C</t>
        </is>
      </c>
      <c r="B1028" s="60">
        <f>IF(E1028&gt;1/1/2001,B1027+1," ")</f>
        <v/>
      </c>
      <c r="C1028" s="59">
        <f>IF(B1028&lt;&gt;" ",CONCATENATE(A1028,B1028)," ")</f>
        <v/>
      </c>
      <c r="J1028" s="71" t="n"/>
    </row>
    <row r="1029">
      <c r="A1029" s="62" t="inlineStr">
        <is>
          <t>C</t>
        </is>
      </c>
      <c r="B1029" s="60">
        <f>IF(E1029&gt;1/1/2001,B1028+1," ")</f>
        <v/>
      </c>
      <c r="C1029" s="59">
        <f>IF(B1029&lt;&gt;" ",CONCATENATE(A1029,B1029)," ")</f>
        <v/>
      </c>
      <c r="J1029" s="71" t="n"/>
    </row>
    <row r="1030">
      <c r="A1030" s="62" t="inlineStr">
        <is>
          <t>C</t>
        </is>
      </c>
      <c r="B1030" s="60">
        <f>IF(E1030&gt;1/1/2001,B1029+1," ")</f>
        <v/>
      </c>
      <c r="C1030" s="59">
        <f>IF(B1030&lt;&gt;" ",CONCATENATE(A1030,B1030)," ")</f>
        <v/>
      </c>
      <c r="J1030" s="71" t="n"/>
    </row>
    <row r="1031">
      <c r="A1031" s="62" t="inlineStr">
        <is>
          <t>C</t>
        </is>
      </c>
      <c r="B1031" s="60">
        <f>IF(E1031&gt;1/1/2001,B1030+1," ")</f>
        <v/>
      </c>
      <c r="C1031" s="59">
        <f>IF(B1031&lt;&gt;" ",CONCATENATE(A1031,B1031)," ")</f>
        <v/>
      </c>
      <c r="J1031" s="71" t="n"/>
    </row>
    <row r="1032">
      <c r="A1032" s="62" t="inlineStr">
        <is>
          <t>C</t>
        </is>
      </c>
      <c r="B1032" s="60">
        <f>IF(E1032&gt;1/1/2001,B1031+1," ")</f>
        <v/>
      </c>
      <c r="C1032" s="59">
        <f>IF(B1032&lt;&gt;" ",CONCATENATE(A1032,B1032)," ")</f>
        <v/>
      </c>
      <c r="J1032" s="71" t="n"/>
    </row>
    <row r="1033">
      <c r="A1033" s="62" t="inlineStr">
        <is>
          <t>C</t>
        </is>
      </c>
      <c r="B1033" s="60">
        <f>IF(E1033&gt;1/1/2001,B1032+1," ")</f>
        <v/>
      </c>
      <c r="C1033" s="59">
        <f>IF(B1033&lt;&gt;" ",CONCATENATE(A1033,B1033)," ")</f>
        <v/>
      </c>
      <c r="J1033" s="71" t="n"/>
    </row>
    <row r="1034">
      <c r="A1034" s="62" t="inlineStr">
        <is>
          <t>C</t>
        </is>
      </c>
      <c r="B1034" s="60">
        <f>IF(E1034&gt;1/1/2001,B1033+1," ")</f>
        <v/>
      </c>
      <c r="C1034" s="59">
        <f>IF(B1034&lt;&gt;" ",CONCATENATE(A1034,B1034)," ")</f>
        <v/>
      </c>
      <c r="J1034" s="71" t="n"/>
    </row>
    <row r="1035">
      <c r="A1035" s="62" t="inlineStr">
        <is>
          <t>C</t>
        </is>
      </c>
      <c r="B1035" s="60">
        <f>IF(E1035&gt;1/1/2001,B1034+1," ")</f>
        <v/>
      </c>
      <c r="C1035" s="59">
        <f>IF(B1035&lt;&gt;" ",CONCATENATE(A1035,B1035)," ")</f>
        <v/>
      </c>
      <c r="J1035" s="71" t="n"/>
    </row>
    <row r="1036">
      <c r="A1036" s="62" t="inlineStr">
        <is>
          <t>C</t>
        </is>
      </c>
      <c r="B1036" s="60">
        <f>IF(E1036&gt;1/1/2001,B1035+1," ")</f>
        <v/>
      </c>
      <c r="C1036" s="59">
        <f>IF(B1036&lt;&gt;" ",CONCATENATE(A1036,B1036)," ")</f>
        <v/>
      </c>
      <c r="J1036" s="71" t="n"/>
    </row>
    <row r="1037">
      <c r="A1037" s="62" t="inlineStr">
        <is>
          <t>C</t>
        </is>
      </c>
      <c r="B1037" s="60">
        <f>IF(E1037&gt;1/1/2001,B1036+1," ")</f>
        <v/>
      </c>
      <c r="C1037" s="59">
        <f>IF(B1037&lt;&gt;" ",CONCATENATE(A1037,B1037)," ")</f>
        <v/>
      </c>
      <c r="J1037" s="71" t="n"/>
    </row>
    <row r="1038">
      <c r="A1038" s="62" t="inlineStr">
        <is>
          <t>C</t>
        </is>
      </c>
      <c r="B1038" s="60">
        <f>IF(E1038&gt;1/1/2001,B1037+1," ")</f>
        <v/>
      </c>
      <c r="C1038" s="59">
        <f>IF(B1038&lt;&gt;" ",CONCATENATE(A1038,B1038)," ")</f>
        <v/>
      </c>
      <c r="J1038" s="71" t="n"/>
    </row>
    <row r="1039">
      <c r="A1039" s="62" t="inlineStr">
        <is>
          <t>C</t>
        </is>
      </c>
      <c r="B1039" s="60">
        <f>IF(E1039&gt;1/1/2001,B1038+1," ")</f>
        <v/>
      </c>
      <c r="C1039" s="59">
        <f>IF(B1039&lt;&gt;" ",CONCATENATE(A1039,B1039)," ")</f>
        <v/>
      </c>
      <c r="J1039" s="71" t="n"/>
    </row>
    <row r="1040">
      <c r="A1040" s="62" t="inlineStr">
        <is>
          <t>C</t>
        </is>
      </c>
      <c r="B1040" s="60">
        <f>IF(E1040&gt;1/1/2001,B1039+1," ")</f>
        <v/>
      </c>
      <c r="C1040" s="59">
        <f>IF(B1040&lt;&gt;" ",CONCATENATE(A1040,B1040)," ")</f>
        <v/>
      </c>
      <c r="J1040" s="71" t="n"/>
    </row>
    <row r="1041">
      <c r="A1041" s="62" t="inlineStr">
        <is>
          <t>C</t>
        </is>
      </c>
      <c r="B1041" s="60">
        <f>IF(E1041&gt;1/1/2001,B1040+1," ")</f>
        <v/>
      </c>
      <c r="C1041" s="59">
        <f>IF(B1041&lt;&gt;" ",CONCATENATE(A1041,B1041)," ")</f>
        <v/>
      </c>
      <c r="J1041" s="71" t="n"/>
    </row>
    <row r="1042">
      <c r="A1042" s="62" t="inlineStr">
        <is>
          <t>C</t>
        </is>
      </c>
      <c r="B1042" s="60">
        <f>IF(E1042&gt;1/1/2001,B1041+1," ")</f>
        <v/>
      </c>
      <c r="C1042" s="59">
        <f>IF(B1042&lt;&gt;" ",CONCATENATE(A1042,B1042)," ")</f>
        <v/>
      </c>
      <c r="J1042" s="71" t="n"/>
    </row>
    <row r="1043">
      <c r="A1043" s="62" t="inlineStr">
        <is>
          <t>C</t>
        </is>
      </c>
      <c r="B1043" s="60">
        <f>IF(E1043&gt;1/1/2001,B1042+1," ")</f>
        <v/>
      </c>
      <c r="C1043" s="59">
        <f>IF(B1043&lt;&gt;" ",CONCATENATE(A1043,B1043)," ")</f>
        <v/>
      </c>
      <c r="J1043" s="71" t="n"/>
    </row>
    <row r="1044">
      <c r="A1044" s="62" t="inlineStr">
        <is>
          <t>C</t>
        </is>
      </c>
      <c r="B1044" s="60">
        <f>IF(E1044&gt;1/1/2001,B1043+1," ")</f>
        <v/>
      </c>
      <c r="C1044" s="59">
        <f>IF(B1044&lt;&gt;" ",CONCATENATE(A1044,B1044)," ")</f>
        <v/>
      </c>
      <c r="J1044" s="71" t="n"/>
    </row>
    <row r="1045">
      <c r="A1045" s="62" t="inlineStr">
        <is>
          <t>C</t>
        </is>
      </c>
      <c r="B1045" s="60">
        <f>IF(E1045&gt;1/1/2001,B1044+1," ")</f>
        <v/>
      </c>
      <c r="C1045" s="59">
        <f>IF(B1045&lt;&gt;" ",CONCATENATE(A1045,B1045)," ")</f>
        <v/>
      </c>
      <c r="J1045" s="71" t="n"/>
    </row>
    <row r="1046">
      <c r="J1046" s="71" t="n"/>
    </row>
    <row r="1047">
      <c r="J1047" s="71" t="n"/>
    </row>
    <row r="1048">
      <c r="J1048" s="71" t="n"/>
    </row>
    <row r="1049">
      <c r="J1049" s="71" t="n"/>
    </row>
    <row r="1050">
      <c r="J1050" s="71" t="n"/>
    </row>
    <row r="1051">
      <c r="J1051" s="71" t="n"/>
    </row>
    <row r="1052">
      <c r="J1052" s="71" t="n"/>
    </row>
    <row r="1053">
      <c r="J1053" s="71" t="n"/>
    </row>
    <row r="1054">
      <c r="J1054" s="71" t="n"/>
    </row>
    <row r="1055">
      <c r="J1055" s="71" t="n"/>
    </row>
    <row r="1056">
      <c r="J1056" s="71" t="n"/>
    </row>
    <row r="1057">
      <c r="J1057" s="71" t="n"/>
    </row>
    <row r="1058">
      <c r="J1058" s="71" t="n"/>
    </row>
    <row r="1059">
      <c r="J1059" s="71" t="n"/>
    </row>
    <row r="1060">
      <c r="J1060" s="71" t="n"/>
    </row>
    <row r="1061">
      <c r="J1061" s="71" t="n"/>
    </row>
    <row r="1062">
      <c r="J1062" s="71" t="n"/>
    </row>
    <row r="1063">
      <c r="J1063" s="71" t="n"/>
    </row>
    <row r="1064">
      <c r="J1064" s="71" t="n"/>
    </row>
    <row r="1065">
      <c r="J1065" s="71" t="n"/>
    </row>
    <row r="1066">
      <c r="J1066" s="71" t="n"/>
    </row>
    <row r="1067">
      <c r="J1067" s="71" t="n"/>
    </row>
    <row r="1068">
      <c r="J1068" s="71" t="n"/>
    </row>
    <row r="1069">
      <c r="J1069" s="71" t="n"/>
    </row>
    <row r="1070">
      <c r="J1070" s="71" t="n"/>
    </row>
    <row r="1071">
      <c r="J1071" s="71" t="n"/>
    </row>
    <row r="1072">
      <c r="J1072" s="71" t="n"/>
    </row>
    <row r="1073">
      <c r="J1073" s="71" t="n"/>
    </row>
    <row r="1074">
      <c r="J1074" s="71" t="n"/>
    </row>
    <row r="1075">
      <c r="J1075" s="71" t="n"/>
    </row>
    <row r="1076">
      <c r="J1076" s="71" t="n"/>
    </row>
    <row r="1077">
      <c r="J1077" s="71" t="n"/>
    </row>
    <row r="1078">
      <c r="J1078" s="71" t="n"/>
    </row>
    <row r="1079">
      <c r="J1079" s="71" t="n"/>
    </row>
    <row r="1080">
      <c r="J1080" s="71" t="n"/>
    </row>
    <row r="1081">
      <c r="J1081" s="71" t="n"/>
    </row>
    <row r="1082">
      <c r="J1082" s="71" t="n"/>
    </row>
    <row r="1083">
      <c r="J1083" s="71" t="n"/>
    </row>
    <row r="1084">
      <c r="J1084" s="71" t="n"/>
    </row>
    <row r="1085">
      <c r="J1085" s="71" t="n"/>
    </row>
    <row r="1086">
      <c r="J1086" s="71" t="n"/>
    </row>
    <row r="1087">
      <c r="J1087" s="71" t="n"/>
    </row>
    <row r="1088">
      <c r="J1088" s="71" t="n"/>
    </row>
    <row r="1089">
      <c r="J1089" s="71" t="n"/>
    </row>
    <row r="1090">
      <c r="J1090" s="71" t="n"/>
    </row>
    <row r="1091">
      <c r="J1091" s="71" t="n"/>
    </row>
    <row r="1092">
      <c r="J1092" s="71" t="n"/>
    </row>
    <row r="1093">
      <c r="J1093" s="71" t="n"/>
    </row>
    <row r="1094">
      <c r="J1094" s="71" t="n"/>
    </row>
    <row r="1095">
      <c r="J1095" s="71" t="n"/>
    </row>
    <row r="1096">
      <c r="J1096" s="71" t="n"/>
    </row>
    <row r="1097">
      <c r="J1097" s="71" t="n"/>
    </row>
    <row r="1098">
      <c r="J1098" s="71" t="n"/>
    </row>
    <row r="1099">
      <c r="J1099" s="71" t="n"/>
    </row>
    <row r="1100">
      <c r="J1100" s="71" t="n"/>
    </row>
    <row r="1101">
      <c r="J1101" s="71" t="n"/>
    </row>
    <row r="1102">
      <c r="J1102" s="71" t="n"/>
    </row>
    <row r="1103">
      <c r="J1103" s="71" t="n"/>
    </row>
    <row r="1104">
      <c r="J1104" s="71" t="n"/>
    </row>
    <row r="1105">
      <c r="J1105" s="71" t="n"/>
    </row>
    <row r="1106">
      <c r="J1106" s="71" t="n"/>
    </row>
    <row r="1107">
      <c r="J1107" s="71" t="n"/>
    </row>
    <row r="1108">
      <c r="J1108" s="71" t="n"/>
    </row>
    <row r="1109">
      <c r="J1109" s="71" t="n"/>
    </row>
    <row r="1110">
      <c r="J1110" s="71" t="n"/>
    </row>
    <row r="1111">
      <c r="J1111" s="71" t="n"/>
    </row>
    <row r="1112">
      <c r="J1112" s="71" t="n"/>
    </row>
    <row r="1113">
      <c r="J1113" s="71" t="n"/>
    </row>
    <row r="1114">
      <c r="J1114" s="71" t="n"/>
    </row>
    <row r="1115">
      <c r="J1115" s="71" t="n"/>
    </row>
    <row r="1116">
      <c r="J1116" s="71" t="n"/>
    </row>
    <row r="1117">
      <c r="J1117" s="71" t="n"/>
    </row>
    <row r="1118">
      <c r="J1118" s="71" t="n"/>
    </row>
    <row r="1119">
      <c r="J1119" s="71" t="n"/>
    </row>
    <row r="1120">
      <c r="J1120" s="71" t="n"/>
    </row>
    <row r="1121">
      <c r="J1121" s="71" t="n"/>
    </row>
    <row r="1122">
      <c r="J1122" s="71" t="n"/>
    </row>
    <row r="1123">
      <c r="J1123" s="71" t="n"/>
    </row>
    <row r="1124">
      <c r="J1124" s="71" t="n"/>
    </row>
    <row r="1125">
      <c r="J1125" s="71" t="n"/>
    </row>
    <row r="1126">
      <c r="J1126" s="71" t="n"/>
    </row>
    <row r="1127">
      <c r="J1127" s="71" t="n"/>
    </row>
    <row r="1128">
      <c r="J1128" s="71" t="n"/>
    </row>
    <row r="1129">
      <c r="J1129" s="71" t="n"/>
    </row>
    <row r="1130">
      <c r="J1130" s="71" t="n"/>
    </row>
    <row r="1131">
      <c r="J1131" s="71" t="n"/>
    </row>
    <row r="1132">
      <c r="J1132" s="71" t="n"/>
    </row>
    <row r="1133">
      <c r="J1133" s="71" t="n"/>
    </row>
    <row r="1134">
      <c r="J1134" s="71" t="n"/>
    </row>
    <row r="1135">
      <c r="J1135" s="71" t="n"/>
    </row>
    <row r="1136">
      <c r="J1136" s="71" t="n"/>
    </row>
    <row r="1137">
      <c r="J1137" s="71" t="n"/>
    </row>
    <row r="1138">
      <c r="J1138" s="71" t="n"/>
    </row>
    <row r="1139">
      <c r="J1139" s="71" t="n"/>
    </row>
    <row r="1140">
      <c r="J1140" s="71" t="n"/>
    </row>
    <row r="1141">
      <c r="J1141" s="71" t="n"/>
    </row>
    <row r="1142">
      <c r="J1142" s="71" t="n"/>
    </row>
    <row r="1143">
      <c r="J1143" s="71" t="n"/>
    </row>
    <row r="1144">
      <c r="J1144" s="71" t="n"/>
    </row>
    <row r="1145">
      <c r="J1145" s="71" t="n"/>
    </row>
    <row r="1146">
      <c r="J1146" s="71" t="n"/>
    </row>
    <row r="1147">
      <c r="J1147" s="71" t="n"/>
    </row>
    <row r="1148">
      <c r="J1148" s="71" t="n"/>
    </row>
    <row r="1149">
      <c r="J1149" s="71" t="n"/>
    </row>
    <row r="1150">
      <c r="J1150" s="71" t="n"/>
    </row>
    <row r="1151">
      <c r="J1151" s="71" t="n"/>
    </row>
    <row r="1152">
      <c r="J1152" s="71" t="n"/>
    </row>
    <row r="1153">
      <c r="J1153" s="71" t="n"/>
    </row>
    <row r="1154">
      <c r="J1154" s="71" t="n"/>
    </row>
    <row r="1155">
      <c r="J1155" s="71" t="n"/>
    </row>
    <row r="1156">
      <c r="J1156" s="71" t="n"/>
    </row>
    <row r="1157">
      <c r="J1157" s="71" t="n"/>
    </row>
    <row r="1158">
      <c r="J1158" s="71" t="n"/>
    </row>
    <row r="1159">
      <c r="J1159" s="71" t="n"/>
    </row>
    <row r="1160">
      <c r="J1160" s="71" t="n"/>
    </row>
    <row r="1161">
      <c r="J1161" s="71" t="n"/>
    </row>
    <row r="1162">
      <c r="J1162" s="71" t="n"/>
    </row>
    <row r="1163">
      <c r="J1163" s="71" t="n"/>
    </row>
    <row r="1164">
      <c r="J1164" s="71" t="n"/>
    </row>
    <row r="1165">
      <c r="J1165" s="71" t="n"/>
    </row>
    <row r="1166">
      <c r="J1166" s="71" t="n"/>
    </row>
    <row r="1167">
      <c r="J1167" s="71" t="n"/>
    </row>
    <row r="1168">
      <c r="J1168" s="71" t="n"/>
    </row>
    <row r="1169">
      <c r="J1169" s="71" t="n"/>
    </row>
    <row r="1170">
      <c r="J1170" s="71" t="n"/>
    </row>
    <row r="1171">
      <c r="J1171" s="71" t="n"/>
    </row>
    <row r="1172">
      <c r="J1172" s="71" t="n"/>
    </row>
    <row r="1173">
      <c r="J1173" s="71" t="n"/>
    </row>
    <row r="1174">
      <c r="J1174" s="71" t="n"/>
    </row>
    <row r="1175">
      <c r="J1175" s="71" t="n"/>
    </row>
    <row r="1176">
      <c r="J1176" s="71" t="n"/>
    </row>
    <row r="1177">
      <c r="J1177" s="71" t="n"/>
    </row>
    <row r="1178">
      <c r="J1178" s="71" t="n"/>
    </row>
    <row r="1179">
      <c r="J1179" s="71" t="n"/>
    </row>
    <row r="1180">
      <c r="J1180" s="71" t="n"/>
    </row>
    <row r="1181">
      <c r="J1181" s="71" t="n"/>
    </row>
    <row r="1182">
      <c r="J1182" s="71" t="n"/>
    </row>
    <row r="1183">
      <c r="J1183" s="71" t="n"/>
    </row>
    <row r="1184">
      <c r="J1184" s="71" t="n"/>
    </row>
    <row r="1185">
      <c r="J1185" s="71" t="n"/>
    </row>
    <row r="1186">
      <c r="J1186" s="71" t="n"/>
    </row>
    <row r="1187">
      <c r="J1187" s="71" t="n"/>
    </row>
    <row r="1188">
      <c r="J1188" s="71" t="n"/>
    </row>
    <row r="1189">
      <c r="J1189" s="71" t="n"/>
    </row>
    <row r="1190">
      <c r="J1190" s="71" t="n"/>
    </row>
    <row r="1191">
      <c r="J1191" s="71" t="n"/>
    </row>
    <row r="1192">
      <c r="J1192" s="71" t="n"/>
    </row>
    <row r="1193">
      <c r="J1193" s="71" t="n"/>
    </row>
    <row r="1194">
      <c r="J1194" s="71" t="n"/>
    </row>
    <row r="1195">
      <c r="J1195" s="71" t="n"/>
    </row>
    <row r="1196">
      <c r="J1196" s="71" t="n"/>
    </row>
    <row r="1197">
      <c r="J1197" s="71" t="n"/>
    </row>
    <row r="1198">
      <c r="J1198" s="71" t="n"/>
    </row>
    <row r="1199">
      <c r="J1199" s="71" t="n"/>
    </row>
    <row r="1200">
      <c r="J1200" s="71" t="n"/>
    </row>
    <row r="1201">
      <c r="J1201" s="71" t="n"/>
    </row>
    <row r="1202">
      <c r="J1202" s="71" t="n"/>
    </row>
    <row r="1203">
      <c r="J1203" s="71" t="n"/>
    </row>
    <row r="1204">
      <c r="J1204" s="71" t="n"/>
    </row>
    <row r="1205">
      <c r="J1205" s="71" t="n"/>
    </row>
    <row r="1206">
      <c r="J1206" s="71" t="n"/>
    </row>
    <row r="1207">
      <c r="J1207" s="71" t="n"/>
    </row>
    <row r="1208">
      <c r="J1208" s="71" t="n"/>
    </row>
    <row r="1209">
      <c r="J1209" s="71" t="n"/>
    </row>
    <row r="1210">
      <c r="J1210" s="71" t="n"/>
    </row>
    <row r="1211">
      <c r="J1211" s="71" t="n"/>
    </row>
    <row r="1212">
      <c r="J1212" s="71" t="n"/>
    </row>
    <row r="1213">
      <c r="J1213" s="71" t="n"/>
    </row>
    <row r="1214">
      <c r="J1214" s="71" t="n"/>
    </row>
    <row r="1215">
      <c r="J1215" s="71" t="n"/>
    </row>
    <row r="1216">
      <c r="J1216" s="71" t="n"/>
    </row>
    <row r="1217">
      <c r="J1217" s="71" t="n"/>
    </row>
    <row r="1218">
      <c r="J1218" s="71" t="n"/>
    </row>
    <row r="1219">
      <c r="J1219" s="71" t="n"/>
    </row>
    <row r="1220">
      <c r="J1220" s="71" t="n"/>
    </row>
    <row r="1221">
      <c r="J1221" s="71" t="n"/>
    </row>
    <row r="1222">
      <c r="J1222" s="71" t="n"/>
    </row>
    <row r="1223">
      <c r="J1223" s="71" t="n"/>
    </row>
    <row r="1224">
      <c r="J1224" s="71" t="n"/>
    </row>
    <row r="1225">
      <c r="J1225" s="71" t="n"/>
    </row>
    <row r="1226">
      <c r="J1226" s="71" t="n"/>
    </row>
    <row r="1227">
      <c r="J1227" s="71" t="n"/>
    </row>
    <row r="1228">
      <c r="J1228" s="71" t="n"/>
    </row>
    <row r="1229">
      <c r="J1229" s="71" t="n"/>
    </row>
    <row r="1230">
      <c r="J1230" s="71" t="n"/>
    </row>
    <row r="1231">
      <c r="J1231" s="71" t="n"/>
    </row>
    <row r="1232">
      <c r="J1232" s="71" t="n"/>
    </row>
    <row r="1233">
      <c r="J1233" s="71" t="n"/>
    </row>
    <row r="1234">
      <c r="J1234" s="71" t="n"/>
    </row>
    <row r="1235">
      <c r="J1235" s="71" t="n"/>
    </row>
    <row r="1236">
      <c r="J1236" s="71" t="n"/>
    </row>
    <row r="1237">
      <c r="J1237" s="71" t="n"/>
    </row>
    <row r="1238">
      <c r="J1238" s="71" t="n"/>
    </row>
    <row r="1239">
      <c r="J1239" s="71" t="n"/>
    </row>
    <row r="1240">
      <c r="J1240" s="71" t="n"/>
    </row>
    <row r="1241">
      <c r="J1241" s="71" t="n"/>
    </row>
    <row r="1242">
      <c r="J1242" s="71" t="n"/>
    </row>
    <row r="1243">
      <c r="J1243" s="71" t="n"/>
    </row>
    <row r="1244">
      <c r="J1244" s="71" t="n"/>
    </row>
    <row r="1245">
      <c r="J1245" s="71" t="n"/>
    </row>
    <row r="1246">
      <c r="J1246" s="71" t="n"/>
    </row>
    <row r="1247">
      <c r="J1247" s="71" t="n"/>
    </row>
    <row r="1248">
      <c r="J1248" s="71" t="n"/>
    </row>
    <row r="1249">
      <c r="J1249" s="71" t="n"/>
    </row>
    <row r="1250">
      <c r="J1250" s="71" t="n"/>
    </row>
    <row r="1251">
      <c r="J1251" s="71" t="n"/>
    </row>
    <row r="1252">
      <c r="J1252" s="71" t="n"/>
    </row>
    <row r="1253">
      <c r="J1253" s="71" t="n"/>
    </row>
    <row r="1254">
      <c r="J1254" s="71" t="n"/>
    </row>
    <row r="1255">
      <c r="J1255" s="71" t="n"/>
    </row>
    <row r="1256">
      <c r="J1256" s="71" t="n"/>
    </row>
    <row r="1257">
      <c r="J1257" s="71" t="n"/>
    </row>
    <row r="1258">
      <c r="J1258" s="71" t="n"/>
    </row>
    <row r="1259">
      <c r="J1259" s="71" t="n"/>
    </row>
    <row r="1260">
      <c r="J1260" s="71" t="n"/>
    </row>
    <row r="1261">
      <c r="J1261" s="71" t="n"/>
    </row>
    <row r="1262">
      <c r="J1262" s="71" t="n"/>
    </row>
    <row r="1263">
      <c r="J1263" s="71" t="n"/>
    </row>
    <row r="1264">
      <c r="J1264" s="71" t="n"/>
    </row>
    <row r="1265">
      <c r="J1265" s="71" t="n"/>
    </row>
    <row r="1266">
      <c r="J1266" s="71" t="n"/>
    </row>
    <row r="1267">
      <c r="J1267" s="71" t="n"/>
    </row>
    <row r="1268">
      <c r="J1268" s="71" t="n"/>
    </row>
    <row r="1269">
      <c r="J1269" s="71" t="n"/>
    </row>
    <row r="1270">
      <c r="J1270" s="71" t="n"/>
    </row>
    <row r="1271">
      <c r="J1271" s="71" t="n"/>
    </row>
    <row r="1272">
      <c r="J1272" s="71" t="n"/>
    </row>
    <row r="1273">
      <c r="J1273" s="71" t="n"/>
    </row>
    <row r="1274">
      <c r="J1274" s="71" t="n"/>
    </row>
    <row r="1275">
      <c r="J1275" s="71" t="n"/>
    </row>
    <row r="1276">
      <c r="J1276" s="71" t="n"/>
    </row>
    <row r="1277">
      <c r="J1277" s="71" t="n"/>
    </row>
    <row r="1278">
      <c r="J1278" s="71" t="n"/>
    </row>
    <row r="1279">
      <c r="J1279" s="71" t="n"/>
    </row>
    <row r="1280">
      <c r="J1280" s="71" t="n"/>
    </row>
    <row r="1281">
      <c r="J1281" s="71" t="n"/>
    </row>
    <row r="1282">
      <c r="J1282" s="71" t="n"/>
    </row>
    <row r="1283">
      <c r="J1283" s="71" t="n"/>
    </row>
    <row r="1284">
      <c r="J1284" s="71" t="n"/>
    </row>
    <row r="1285">
      <c r="J1285" s="71" t="n"/>
    </row>
    <row r="1286">
      <c r="J1286" s="71" t="n"/>
    </row>
    <row r="1287">
      <c r="J1287" s="71" t="n"/>
    </row>
    <row r="1288">
      <c r="J1288" s="71" t="n"/>
    </row>
    <row r="1289">
      <c r="J1289" s="71" t="n"/>
    </row>
    <row r="1290">
      <c r="J1290" s="71" t="n"/>
    </row>
    <row r="1291">
      <c r="J1291" s="71" t="n"/>
    </row>
    <row r="1292">
      <c r="J1292" s="71" t="n"/>
    </row>
    <row r="1293">
      <c r="J1293" s="71" t="n"/>
    </row>
    <row r="1294">
      <c r="J1294" s="71" t="n"/>
    </row>
    <row r="1295">
      <c r="J1295" s="71" t="n"/>
    </row>
    <row r="1296">
      <c r="J1296" s="71" t="n"/>
    </row>
    <row r="1297">
      <c r="J1297" s="71" t="n"/>
    </row>
    <row r="1298">
      <c r="J1298" s="71" t="n"/>
    </row>
    <row r="1299">
      <c r="J1299" s="71" t="n"/>
    </row>
    <row r="1300">
      <c r="J1300" s="71" t="n"/>
    </row>
    <row r="1301">
      <c r="J1301" s="71" t="n"/>
    </row>
    <row r="1302">
      <c r="J1302" s="71" t="n"/>
    </row>
    <row r="1303">
      <c r="J1303" s="71" t="n"/>
    </row>
    <row r="1304">
      <c r="J1304" s="71" t="n"/>
    </row>
    <row r="1305">
      <c r="J1305" s="71" t="n"/>
    </row>
    <row r="1306">
      <c r="J1306" s="71" t="n"/>
    </row>
    <row r="1307">
      <c r="J1307" s="71" t="n"/>
    </row>
    <row r="1308">
      <c r="J1308" s="71" t="n"/>
    </row>
    <row r="1309">
      <c r="J1309" s="71" t="n"/>
    </row>
    <row r="1310">
      <c r="J1310" s="71" t="n"/>
    </row>
    <row r="1311">
      <c r="J1311" s="71" t="n"/>
    </row>
    <row r="1312">
      <c r="J1312" s="71" t="n"/>
    </row>
    <row r="1313">
      <c r="J1313" s="71" t="n"/>
    </row>
    <row r="1314">
      <c r="J1314" s="71" t="n"/>
    </row>
    <row r="1315">
      <c r="J1315" s="71" t="n"/>
    </row>
    <row r="1316">
      <c r="J1316" s="71" t="n"/>
    </row>
    <row r="1317">
      <c r="J1317" s="71" t="n"/>
    </row>
    <row r="1318">
      <c r="J1318" s="71" t="n"/>
    </row>
    <row r="1319">
      <c r="J1319" s="71" t="n"/>
    </row>
    <row r="1320">
      <c r="J1320" s="71" t="n"/>
    </row>
    <row r="1321">
      <c r="J1321" s="71" t="n"/>
    </row>
    <row r="1322">
      <c r="J1322" s="71" t="n"/>
    </row>
    <row r="1323">
      <c r="J1323" s="71" t="n"/>
    </row>
    <row r="1324">
      <c r="J1324" s="71" t="n"/>
    </row>
    <row r="1325">
      <c r="J1325" s="71" t="n"/>
    </row>
    <row r="1326">
      <c r="J1326" s="71" t="n"/>
    </row>
    <row r="1327">
      <c r="J1327" s="71" t="n"/>
    </row>
    <row r="1328">
      <c r="J1328" s="71" t="n"/>
    </row>
    <row r="1329">
      <c r="J1329" s="71" t="n"/>
    </row>
    <row r="1330">
      <c r="J1330" s="71" t="n"/>
    </row>
    <row r="1331">
      <c r="J1331" s="71" t="n"/>
    </row>
    <row r="1332">
      <c r="J1332" s="71" t="n"/>
    </row>
    <row r="1333">
      <c r="J1333" s="71" t="n"/>
    </row>
    <row r="1334">
      <c r="J1334" s="71" t="n"/>
    </row>
    <row r="1335">
      <c r="J1335" s="71" t="n"/>
    </row>
    <row r="1336">
      <c r="J1336" s="71" t="n"/>
    </row>
    <row r="1337">
      <c r="J1337" s="71" t="n"/>
    </row>
    <row r="1338">
      <c r="J1338" s="71" t="n"/>
    </row>
    <row r="1339">
      <c r="J1339" s="71" t="n"/>
    </row>
    <row r="1340">
      <c r="J1340" s="71" t="n"/>
    </row>
    <row r="1341">
      <c r="J1341" s="71" t="n"/>
    </row>
    <row r="1342">
      <c r="J1342" s="71" t="n"/>
    </row>
    <row r="1343">
      <c r="J1343" s="71" t="n"/>
    </row>
    <row r="1344">
      <c r="J1344" s="71" t="n"/>
    </row>
    <row r="1345">
      <c r="J1345" s="71" t="n"/>
    </row>
    <row r="1346">
      <c r="J1346" s="71" t="n"/>
    </row>
    <row r="1347">
      <c r="J1347" s="71" t="n"/>
    </row>
    <row r="1348">
      <c r="J1348" s="71" t="n"/>
    </row>
    <row r="1349">
      <c r="J1349" s="71" t="n"/>
    </row>
    <row r="1350">
      <c r="J1350" s="71" t="n"/>
    </row>
    <row r="1351">
      <c r="J1351" s="71" t="n"/>
    </row>
    <row r="1352">
      <c r="J1352" s="71" t="n"/>
    </row>
    <row r="1353">
      <c r="J1353" s="71" t="n"/>
    </row>
    <row r="1354">
      <c r="J1354" s="71" t="n"/>
    </row>
    <row r="1355">
      <c r="J1355" s="71" t="n"/>
    </row>
    <row r="1356">
      <c r="J1356" s="71" t="n"/>
    </row>
    <row r="1357">
      <c r="J1357" s="71" t="n"/>
    </row>
    <row r="1358">
      <c r="J1358" s="71" t="n"/>
    </row>
    <row r="1359">
      <c r="J1359" s="71" t="n"/>
    </row>
    <row r="1360">
      <c r="J1360" s="71" t="n"/>
    </row>
    <row r="1361">
      <c r="J1361" s="71" t="n"/>
    </row>
    <row r="1362">
      <c r="J1362" s="71" t="n"/>
    </row>
    <row r="1363">
      <c r="J1363" s="71" t="n"/>
    </row>
    <row r="1364">
      <c r="J1364" s="71" t="n"/>
    </row>
    <row r="1365">
      <c r="J1365" s="71" t="n"/>
    </row>
    <row r="1366">
      <c r="J1366" s="71" t="n"/>
    </row>
    <row r="1367">
      <c r="J1367" s="71" t="n"/>
    </row>
    <row r="1368">
      <c r="J1368" s="71" t="n"/>
    </row>
    <row r="1369">
      <c r="J1369" s="71" t="n"/>
    </row>
    <row r="1370">
      <c r="J1370" s="71" t="n"/>
    </row>
    <row r="1371">
      <c r="J1371" s="71" t="n"/>
    </row>
    <row r="1372">
      <c r="J1372" s="71" t="n"/>
    </row>
    <row r="1373">
      <c r="J1373" s="71" t="n"/>
    </row>
    <row r="1374">
      <c r="J1374" s="71" t="n"/>
    </row>
    <row r="1375">
      <c r="J1375" s="71" t="n"/>
    </row>
    <row r="1376">
      <c r="J1376" s="71" t="n"/>
    </row>
    <row r="1377">
      <c r="J1377" s="71" t="n"/>
    </row>
    <row r="1378">
      <c r="J1378" s="71" t="n"/>
    </row>
    <row r="1379">
      <c r="J1379" s="71" t="n"/>
    </row>
    <row r="1380">
      <c r="J1380" s="71" t="n"/>
    </row>
    <row r="1381">
      <c r="J1381" s="71" t="n"/>
    </row>
    <row r="1382">
      <c r="J1382" s="71" t="n"/>
    </row>
    <row r="1383">
      <c r="J1383" s="71" t="n"/>
    </row>
    <row r="1384">
      <c r="J1384" s="71" t="n"/>
    </row>
    <row r="1385">
      <c r="J1385" s="71" t="n"/>
    </row>
    <row r="1386">
      <c r="J1386" s="71" t="n"/>
    </row>
    <row r="1387">
      <c r="J1387" s="71" t="n"/>
    </row>
    <row r="1388">
      <c r="J1388" s="71" t="n"/>
    </row>
    <row r="1389">
      <c r="J1389" s="71" t="n"/>
    </row>
    <row r="1390">
      <c r="J1390" s="71" t="n"/>
    </row>
    <row r="1391">
      <c r="J1391" s="71" t="n"/>
    </row>
    <row r="1392">
      <c r="J1392" s="71" t="n"/>
    </row>
    <row r="1393">
      <c r="J1393" s="71" t="n"/>
    </row>
    <row r="1394">
      <c r="J1394" s="71" t="n"/>
    </row>
    <row r="1395">
      <c r="J1395" s="71" t="n"/>
    </row>
    <row r="1396">
      <c r="J1396" s="71" t="n"/>
    </row>
    <row r="1397">
      <c r="J1397" s="71" t="n"/>
    </row>
    <row r="1398">
      <c r="J1398" s="71" t="n"/>
    </row>
    <row r="1399">
      <c r="J1399" s="71" t="n"/>
    </row>
    <row r="1400">
      <c r="J1400" s="71" t="n"/>
    </row>
    <row r="1401">
      <c r="J1401" s="71" t="n"/>
    </row>
    <row r="1402">
      <c r="J1402" s="71" t="n"/>
    </row>
    <row r="1403">
      <c r="J1403" s="71" t="n"/>
    </row>
    <row r="1404">
      <c r="J1404" s="71" t="n"/>
    </row>
    <row r="1405">
      <c r="J1405" s="71" t="n"/>
    </row>
    <row r="1406">
      <c r="J1406" s="71" t="n"/>
    </row>
    <row r="1407">
      <c r="J1407" s="71" t="n"/>
    </row>
    <row r="1408">
      <c r="J1408" s="71" t="n"/>
    </row>
    <row r="1409">
      <c r="J1409" s="71" t="n"/>
    </row>
    <row r="1410">
      <c r="J1410" s="71" t="n"/>
    </row>
    <row r="1411">
      <c r="J1411" s="71" t="n"/>
    </row>
    <row r="1412">
      <c r="J1412" s="71" t="n"/>
    </row>
    <row r="1413">
      <c r="J1413" s="71" t="n"/>
    </row>
    <row r="1414">
      <c r="J1414" s="71" t="n"/>
    </row>
    <row r="1415">
      <c r="J1415" s="71" t="n"/>
    </row>
    <row r="1416">
      <c r="J1416" s="71" t="n"/>
    </row>
    <row r="1417">
      <c r="J1417" s="71" t="n"/>
    </row>
    <row r="1418">
      <c r="J1418" s="71" t="n"/>
    </row>
    <row r="1419">
      <c r="J1419" s="71" t="n"/>
    </row>
    <row r="1420">
      <c r="J1420" s="71" t="n"/>
    </row>
    <row r="1421">
      <c r="J1421" s="71" t="n"/>
    </row>
    <row r="1422">
      <c r="J1422" s="71" t="n"/>
    </row>
    <row r="1423">
      <c r="J1423" s="71" t="n"/>
    </row>
    <row r="1424">
      <c r="J1424" s="71" t="n"/>
    </row>
    <row r="1425">
      <c r="J1425" s="71" t="n"/>
    </row>
    <row r="1426">
      <c r="J1426" s="71" t="n"/>
    </row>
    <row r="1427">
      <c r="J1427" s="71" t="n"/>
    </row>
    <row r="1428">
      <c r="J1428" s="71" t="n"/>
    </row>
    <row r="1429">
      <c r="J1429" s="71" t="n"/>
    </row>
    <row r="1430">
      <c r="J1430" s="71" t="n"/>
    </row>
    <row r="1431">
      <c r="J1431" s="71" t="n"/>
    </row>
    <row r="1432">
      <c r="J1432" s="71" t="n"/>
    </row>
    <row r="1433">
      <c r="J1433" s="71" t="n"/>
    </row>
    <row r="1434">
      <c r="J1434" s="71" t="n"/>
    </row>
    <row r="1435">
      <c r="J1435" s="71" t="n"/>
    </row>
    <row r="1436">
      <c r="J1436" s="71" t="n"/>
    </row>
    <row r="1437">
      <c r="J1437" s="71" t="n"/>
    </row>
    <row r="1438">
      <c r="J1438" s="71" t="n"/>
    </row>
    <row r="1439">
      <c r="J1439" s="71" t="n"/>
    </row>
    <row r="1440">
      <c r="J1440" s="71" t="n"/>
    </row>
    <row r="1441">
      <c r="J1441" s="71" t="n"/>
    </row>
    <row r="1442">
      <c r="J1442" s="71" t="n"/>
    </row>
    <row r="1443">
      <c r="J1443" s="71" t="n"/>
    </row>
    <row r="1444">
      <c r="J1444" s="71" t="n"/>
    </row>
    <row r="1445">
      <c r="J1445" s="71" t="n"/>
    </row>
    <row r="1446">
      <c r="J1446" s="71" t="n"/>
    </row>
    <row r="1447">
      <c r="J1447" s="71" t="n"/>
    </row>
    <row r="1448">
      <c r="J1448" s="71" t="n"/>
    </row>
    <row r="1449">
      <c r="J1449" s="71" t="n"/>
    </row>
    <row r="1450">
      <c r="J1450" s="71" t="n"/>
    </row>
    <row r="1451">
      <c r="J1451" s="71" t="n"/>
    </row>
    <row r="1452">
      <c r="J1452" s="71" t="n"/>
    </row>
    <row r="1453">
      <c r="J1453" s="71" t="n"/>
    </row>
    <row r="1454">
      <c r="J1454" s="71" t="n"/>
    </row>
    <row r="1455">
      <c r="J1455" s="71" t="n"/>
    </row>
    <row r="1456">
      <c r="J1456" s="71" t="n"/>
    </row>
    <row r="1457">
      <c r="J1457" s="71" t="n"/>
    </row>
    <row r="1458">
      <c r="J1458" s="71" t="n"/>
    </row>
    <row r="1459">
      <c r="J1459" s="71" t="n"/>
    </row>
    <row r="1460">
      <c r="J1460" s="71" t="n"/>
    </row>
    <row r="1461">
      <c r="J1461" s="71" t="n"/>
    </row>
    <row r="1462">
      <c r="J1462" s="71" t="n"/>
    </row>
    <row r="1463">
      <c r="J1463" s="71" t="n"/>
    </row>
    <row r="1464">
      <c r="J1464" s="71" t="n"/>
    </row>
    <row r="1465">
      <c r="J1465" s="71" t="n"/>
    </row>
    <row r="1466">
      <c r="J1466" s="71" t="n"/>
    </row>
    <row r="1467">
      <c r="J1467" s="71" t="n"/>
    </row>
    <row r="1468">
      <c r="J1468" s="71" t="n"/>
    </row>
    <row r="1469">
      <c r="J1469" s="71" t="n"/>
    </row>
    <row r="1470">
      <c r="J1470" s="71" t="n"/>
    </row>
    <row r="1471">
      <c r="J1471" s="71" t="n"/>
    </row>
    <row r="1472">
      <c r="J1472" s="71" t="n"/>
    </row>
    <row r="1473">
      <c r="J1473" s="71" t="n"/>
    </row>
    <row r="1474">
      <c r="J1474" s="71" t="n"/>
    </row>
    <row r="1475">
      <c r="J1475" s="71" t="n"/>
    </row>
    <row r="1476">
      <c r="J1476" s="71" t="n"/>
    </row>
    <row r="1477">
      <c r="J1477" s="71" t="n"/>
    </row>
    <row r="1478">
      <c r="J1478" s="71" t="n"/>
    </row>
    <row r="1479">
      <c r="J1479" s="71" t="n"/>
    </row>
    <row r="1480">
      <c r="J1480" s="71" t="n"/>
    </row>
    <row r="1481">
      <c r="J1481" s="71" t="n"/>
    </row>
    <row r="1482">
      <c r="J1482" s="71" t="n"/>
    </row>
    <row r="1483">
      <c r="J1483" s="71" t="n"/>
    </row>
    <row r="1484">
      <c r="J1484" s="71" t="n"/>
    </row>
    <row r="1485">
      <c r="J1485" s="71" t="n"/>
    </row>
    <row r="1486">
      <c r="J1486" s="71" t="n"/>
    </row>
    <row r="1487">
      <c r="J1487" s="71" t="n"/>
    </row>
    <row r="1488">
      <c r="J1488" s="71" t="n"/>
    </row>
    <row r="1489">
      <c r="J1489" s="71" t="n"/>
    </row>
    <row r="1490">
      <c r="J1490" s="71" t="n"/>
    </row>
    <row r="1491">
      <c r="J1491" s="71" t="n"/>
    </row>
    <row r="1492">
      <c r="J1492" s="71" t="n"/>
    </row>
    <row r="1493">
      <c r="J1493" s="71" t="n"/>
    </row>
    <row r="1494">
      <c r="J1494" s="71" t="n"/>
    </row>
    <row r="1495">
      <c r="J1495" s="71" t="n"/>
    </row>
    <row r="1496">
      <c r="J1496" s="71" t="n"/>
    </row>
    <row r="1497">
      <c r="J1497" s="71" t="n"/>
    </row>
    <row r="1498">
      <c r="J1498" s="71" t="n"/>
    </row>
    <row r="1499">
      <c r="J1499" s="71" t="n"/>
    </row>
    <row r="1500">
      <c r="J1500" s="71" t="n"/>
    </row>
    <row r="1501">
      <c r="J1501" s="71" t="n"/>
    </row>
    <row r="1502">
      <c r="J1502" s="71" t="n"/>
    </row>
    <row r="1503">
      <c r="J1503" s="71" t="n"/>
    </row>
    <row r="1504">
      <c r="J1504" s="71" t="n"/>
    </row>
    <row r="1505">
      <c r="J1505" s="71" t="n"/>
    </row>
    <row r="1506">
      <c r="J1506" s="71" t="n"/>
    </row>
    <row r="1507">
      <c r="J1507" s="71" t="n"/>
    </row>
    <row r="1508">
      <c r="J1508" s="71" t="n"/>
    </row>
    <row r="1509">
      <c r="J1509" s="71" t="n"/>
    </row>
    <row r="1510">
      <c r="J1510" s="71" t="n"/>
    </row>
    <row r="1511">
      <c r="J1511" s="71" t="n"/>
    </row>
    <row r="1512">
      <c r="J1512" s="71" t="n"/>
    </row>
    <row r="1513">
      <c r="J1513" s="71" t="n"/>
    </row>
    <row r="1514">
      <c r="J1514" s="71" t="n"/>
    </row>
    <row r="1515">
      <c r="J1515" s="71" t="n"/>
    </row>
    <row r="1516">
      <c r="J1516" s="71" t="n"/>
    </row>
    <row r="1517">
      <c r="J1517" s="71" t="n"/>
    </row>
    <row r="1518">
      <c r="J1518" s="71" t="n"/>
    </row>
    <row r="1519">
      <c r="J1519" s="71" t="n"/>
    </row>
    <row r="1520">
      <c r="J1520" s="71" t="n"/>
    </row>
    <row r="1521">
      <c r="J1521" s="71" t="n"/>
    </row>
    <row r="1522">
      <c r="J1522" s="71" t="n"/>
    </row>
    <row r="1523">
      <c r="J1523" s="71" t="n"/>
    </row>
    <row r="1524">
      <c r="J1524" s="71" t="n"/>
    </row>
    <row r="1525">
      <c r="J1525" s="71" t="n"/>
    </row>
    <row r="1526">
      <c r="J1526" s="71" t="n"/>
    </row>
    <row r="1527">
      <c r="J1527" s="71" t="n"/>
    </row>
    <row r="1528">
      <c r="J1528" s="71" t="n"/>
    </row>
    <row r="1529">
      <c r="J1529" s="71" t="n"/>
    </row>
    <row r="1530">
      <c r="J1530" s="71" t="n"/>
    </row>
    <row r="1531">
      <c r="J1531" s="71" t="n"/>
    </row>
    <row r="1532">
      <c r="J1532" s="71" t="n"/>
    </row>
    <row r="1533">
      <c r="J1533" s="71" t="n"/>
    </row>
    <row r="1534">
      <c r="J1534" s="71" t="n"/>
    </row>
    <row r="1535">
      <c r="J1535" s="71" t="n"/>
    </row>
    <row r="1536">
      <c r="J1536" s="71" t="n"/>
    </row>
    <row r="1537">
      <c r="J1537" s="71" t="n"/>
    </row>
    <row r="1538">
      <c r="J1538" s="71" t="n"/>
    </row>
    <row r="1539">
      <c r="J1539" s="71" t="n"/>
    </row>
    <row r="1540">
      <c r="J1540" s="71" t="n"/>
    </row>
    <row r="1541">
      <c r="J1541" s="71" t="n"/>
    </row>
    <row r="1542">
      <c r="J1542" s="71" t="n"/>
    </row>
    <row r="1543">
      <c r="J1543" s="71" t="n"/>
    </row>
    <row r="1544">
      <c r="J1544" s="71" t="n"/>
    </row>
    <row r="1545">
      <c r="J1545" s="71" t="n"/>
    </row>
    <row r="1546">
      <c r="J1546" s="71" t="n"/>
    </row>
    <row r="1547">
      <c r="J1547" s="71" t="n"/>
    </row>
    <row r="1548">
      <c r="J1548" s="71" t="n"/>
    </row>
    <row r="1549">
      <c r="J1549" s="71" t="n"/>
    </row>
    <row r="1550">
      <c r="J1550" s="71" t="n"/>
    </row>
    <row r="1551">
      <c r="J1551" s="71" t="n"/>
    </row>
    <row r="1552">
      <c r="J1552" s="71" t="n"/>
    </row>
    <row r="1553">
      <c r="J1553" s="71" t="n"/>
    </row>
    <row r="1554">
      <c r="J1554" s="71" t="n"/>
    </row>
    <row r="1555">
      <c r="J1555" s="71" t="n"/>
    </row>
    <row r="1556">
      <c r="J1556" s="71" t="n"/>
    </row>
    <row r="1557">
      <c r="J1557" s="71" t="n"/>
    </row>
    <row r="1558">
      <c r="J1558" s="71" t="n"/>
    </row>
    <row r="1559">
      <c r="J1559" s="71" t="n"/>
    </row>
    <row r="1560">
      <c r="J1560" s="71" t="n"/>
    </row>
    <row r="1561">
      <c r="J1561" s="71" t="n"/>
    </row>
    <row r="1562">
      <c r="J1562" s="71" t="n"/>
    </row>
    <row r="1563">
      <c r="J1563" s="71" t="n"/>
    </row>
    <row r="1564">
      <c r="J1564" s="71" t="n"/>
    </row>
    <row r="1565">
      <c r="J1565" s="71" t="n"/>
    </row>
    <row r="1566">
      <c r="J1566" s="71" t="n"/>
    </row>
    <row r="1567">
      <c r="J1567" s="71" t="n"/>
    </row>
    <row r="1568">
      <c r="J1568" s="71" t="n"/>
    </row>
    <row r="1569">
      <c r="J1569" s="71" t="n"/>
    </row>
    <row r="1570">
      <c r="J1570" s="71" t="n"/>
    </row>
    <row r="1571">
      <c r="J1571" s="71" t="n"/>
    </row>
    <row r="1572">
      <c r="J1572" s="71" t="n"/>
    </row>
    <row r="1573">
      <c r="J1573" s="71" t="n"/>
    </row>
    <row r="1574">
      <c r="J1574" s="71" t="n"/>
    </row>
    <row r="1575">
      <c r="J1575" s="71" t="n"/>
    </row>
    <row r="1576">
      <c r="J1576" s="71" t="n"/>
    </row>
    <row r="1577">
      <c r="J1577" s="71" t="n"/>
    </row>
    <row r="1578">
      <c r="J1578" s="71" t="n"/>
    </row>
    <row r="1579">
      <c r="J1579" s="71" t="n"/>
    </row>
    <row r="1580">
      <c r="J1580" s="71" t="n"/>
    </row>
    <row r="1581">
      <c r="J1581" s="71" t="n"/>
    </row>
    <row r="1582">
      <c r="J1582" s="71" t="n"/>
    </row>
    <row r="1583">
      <c r="J1583" s="71" t="n"/>
    </row>
    <row r="1584">
      <c r="J1584" s="71" t="n"/>
    </row>
    <row r="1585">
      <c r="J1585" s="71" t="n"/>
    </row>
    <row r="1586">
      <c r="J1586" s="71" t="n"/>
    </row>
    <row r="1587">
      <c r="J1587" s="71" t="n"/>
    </row>
    <row r="1588">
      <c r="J1588" s="71" t="n"/>
    </row>
    <row r="1589">
      <c r="J1589" s="71" t="n"/>
    </row>
    <row r="1590">
      <c r="J1590" s="71" t="n"/>
    </row>
    <row r="1591">
      <c r="J1591" s="71" t="n"/>
    </row>
    <row r="1592">
      <c r="J1592" s="71" t="n"/>
    </row>
    <row r="1593">
      <c r="J1593" s="71" t="n"/>
    </row>
    <row r="1594">
      <c r="J1594" s="71" t="n"/>
    </row>
    <row r="1595">
      <c r="J1595" s="71" t="n"/>
    </row>
    <row r="1596">
      <c r="J1596" s="71" t="n"/>
    </row>
    <row r="1597">
      <c r="J1597" s="71" t="n"/>
    </row>
    <row r="1598">
      <c r="J1598" s="71" t="n"/>
    </row>
    <row r="1599">
      <c r="J1599" s="71" t="n"/>
    </row>
    <row r="1600">
      <c r="J1600" s="71" t="n"/>
    </row>
    <row r="1601">
      <c r="J1601" s="71" t="n"/>
    </row>
    <row r="1602">
      <c r="J1602" s="71" t="n"/>
    </row>
    <row r="1603">
      <c r="J1603" s="71" t="n"/>
    </row>
    <row r="1604">
      <c r="J1604" s="71" t="n"/>
    </row>
    <row r="1605">
      <c r="J1605" s="71" t="n"/>
    </row>
    <row r="1606">
      <c r="J1606" s="71" t="n"/>
    </row>
    <row r="1607">
      <c r="J1607" s="71" t="n"/>
    </row>
    <row r="1608">
      <c r="J1608" s="71" t="n"/>
    </row>
    <row r="1609">
      <c r="J1609" s="71" t="n"/>
    </row>
    <row r="1610">
      <c r="J1610" s="71" t="n"/>
    </row>
    <row r="1611">
      <c r="J1611" s="71" t="n"/>
    </row>
    <row r="1612">
      <c r="J1612" s="71" t="n"/>
    </row>
    <row r="1613">
      <c r="J1613" s="71" t="n"/>
    </row>
    <row r="1614">
      <c r="J1614" s="71" t="n"/>
    </row>
    <row r="1615">
      <c r="J1615" s="71" t="n"/>
    </row>
    <row r="1616">
      <c r="J1616" s="71" t="n"/>
    </row>
    <row r="1617">
      <c r="J1617" s="71" t="n"/>
    </row>
    <row r="1618">
      <c r="J1618" s="71" t="n"/>
    </row>
    <row r="1619">
      <c r="J1619" s="71" t="n"/>
    </row>
    <row r="1620">
      <c r="J1620" s="71" t="n"/>
    </row>
    <row r="1621">
      <c r="J1621" s="71" t="n"/>
    </row>
    <row r="1622">
      <c r="J1622" s="71" t="n"/>
    </row>
    <row r="1623">
      <c r="J1623" s="71" t="n"/>
    </row>
    <row r="1624">
      <c r="J1624" s="71" t="n"/>
    </row>
    <row r="1625">
      <c r="J1625" s="71" t="n"/>
    </row>
    <row r="1626">
      <c r="J1626" s="71" t="n"/>
    </row>
    <row r="1627">
      <c r="J1627" s="71" t="n"/>
    </row>
    <row r="1628">
      <c r="J1628" s="71" t="n"/>
    </row>
    <row r="1629">
      <c r="J1629" s="71" t="n"/>
    </row>
    <row r="1630">
      <c r="J1630" s="71" t="n"/>
    </row>
    <row r="1631">
      <c r="J1631" s="71" t="n"/>
    </row>
    <row r="1632">
      <c r="J1632" s="71" t="n"/>
    </row>
    <row r="1633">
      <c r="J1633" s="71" t="n"/>
    </row>
    <row r="1634">
      <c r="J1634" s="71" t="n"/>
    </row>
    <row r="1635">
      <c r="J1635" s="71" t="n"/>
    </row>
    <row r="1636">
      <c r="J1636" s="71" t="n"/>
    </row>
    <row r="1637">
      <c r="J1637" s="71" t="n"/>
    </row>
    <row r="1638">
      <c r="J1638" s="71" t="n"/>
    </row>
    <row r="1639">
      <c r="J1639" s="71" t="n"/>
    </row>
    <row r="1640">
      <c r="J1640" s="71" t="n"/>
    </row>
    <row r="1641">
      <c r="J1641" s="71" t="n"/>
    </row>
    <row r="1642">
      <c r="J1642" s="71" t="n"/>
    </row>
    <row r="1643">
      <c r="J1643" s="71" t="n"/>
    </row>
    <row r="1644">
      <c r="J1644" s="71" t="n"/>
    </row>
    <row r="1645">
      <c r="J1645" s="71" t="n"/>
    </row>
    <row r="1646">
      <c r="J1646" s="71" t="n"/>
    </row>
    <row r="1647">
      <c r="J1647" s="71" t="n"/>
    </row>
    <row r="1648">
      <c r="J1648" s="71" t="n"/>
    </row>
    <row r="1649">
      <c r="J1649" s="71" t="n"/>
    </row>
    <row r="1650">
      <c r="J1650" s="71" t="n"/>
    </row>
    <row r="1651">
      <c r="J1651" s="71" t="n"/>
    </row>
    <row r="1652">
      <c r="J1652" s="71" t="n"/>
    </row>
    <row r="1653">
      <c r="J1653" s="71" t="n"/>
    </row>
    <row r="1654">
      <c r="J1654" s="71" t="n"/>
    </row>
    <row r="1655">
      <c r="J1655" s="71" t="n"/>
    </row>
    <row r="1656">
      <c r="J1656" s="71" t="n"/>
    </row>
    <row r="1657">
      <c r="J1657" s="71" t="n"/>
    </row>
    <row r="1658">
      <c r="J1658" s="71" t="n"/>
    </row>
    <row r="1659">
      <c r="J1659" s="71" t="n"/>
    </row>
    <row r="1660">
      <c r="J1660" s="71" t="n"/>
    </row>
    <row r="1661">
      <c r="J1661" s="71" t="n"/>
    </row>
    <row r="1662">
      <c r="J1662" s="71" t="n"/>
    </row>
    <row r="1663">
      <c r="J1663" s="71" t="n"/>
    </row>
    <row r="1664">
      <c r="J1664" s="71" t="n"/>
    </row>
    <row r="1665">
      <c r="J1665" s="71" t="n"/>
    </row>
    <row r="1666">
      <c r="J1666" s="71" t="n"/>
    </row>
    <row r="1667">
      <c r="J1667" s="71" t="n"/>
    </row>
    <row r="1668">
      <c r="J1668" s="71" t="n"/>
    </row>
    <row r="1669">
      <c r="J1669" s="71" t="n"/>
    </row>
    <row r="1670">
      <c r="J1670" s="71" t="n"/>
    </row>
    <row r="1671">
      <c r="J1671" s="71" t="n"/>
    </row>
    <row r="1672">
      <c r="J1672" s="71" t="n"/>
    </row>
    <row r="1673">
      <c r="J1673" s="71" t="n"/>
    </row>
    <row r="1674">
      <c r="J1674" s="71" t="n"/>
    </row>
    <row r="1675">
      <c r="J1675" s="71" t="n"/>
    </row>
    <row r="1676">
      <c r="J1676" s="71" t="n"/>
    </row>
    <row r="1677">
      <c r="J1677" s="71" t="n"/>
    </row>
    <row r="1678">
      <c r="J1678" s="71" t="n"/>
    </row>
    <row r="1679">
      <c r="J1679" s="71" t="n"/>
    </row>
    <row r="1680">
      <c r="J1680" s="71" t="n"/>
    </row>
    <row r="1681">
      <c r="J1681" s="71" t="n"/>
    </row>
    <row r="1682">
      <c r="J1682" s="71" t="n"/>
    </row>
    <row r="1683">
      <c r="J1683" s="71" t="n"/>
    </row>
    <row r="1684">
      <c r="J1684" s="71" t="n"/>
    </row>
    <row r="1685">
      <c r="J1685" s="71" t="n"/>
    </row>
    <row r="1686">
      <c r="J1686" s="71" t="n"/>
    </row>
    <row r="1687">
      <c r="J1687" s="71" t="n"/>
    </row>
    <row r="1688">
      <c r="J1688" s="71" t="n"/>
    </row>
    <row r="1689">
      <c r="J1689" s="71" t="n"/>
    </row>
    <row r="1690">
      <c r="J1690" s="71" t="n"/>
    </row>
    <row r="1691">
      <c r="J1691" s="71" t="n"/>
    </row>
    <row r="1692">
      <c r="J1692" s="71" t="n"/>
    </row>
    <row r="1693">
      <c r="J1693" s="71" t="n"/>
    </row>
    <row r="1694">
      <c r="J1694" s="71" t="n"/>
    </row>
    <row r="1695">
      <c r="J1695" s="71" t="n"/>
    </row>
    <row r="1696">
      <c r="J1696" s="71" t="n"/>
    </row>
    <row r="1697">
      <c r="J1697" s="71" t="n"/>
    </row>
    <row r="1698">
      <c r="J1698" s="71" t="n"/>
    </row>
    <row r="1699">
      <c r="J1699" s="71" t="n"/>
    </row>
    <row r="1700">
      <c r="J1700" s="71" t="n"/>
    </row>
    <row r="1701">
      <c r="J1701" s="71" t="n"/>
    </row>
    <row r="1702">
      <c r="J1702" s="71" t="n"/>
    </row>
    <row r="1703">
      <c r="J1703" s="71" t="n"/>
    </row>
    <row r="1704">
      <c r="J1704" s="71" t="n"/>
    </row>
    <row r="1705">
      <c r="J1705" s="71" t="n"/>
    </row>
    <row r="1706">
      <c r="J1706" s="71" t="n"/>
    </row>
    <row r="1707">
      <c r="J1707" s="71" t="n"/>
    </row>
    <row r="1708">
      <c r="J1708" s="71" t="n"/>
    </row>
    <row r="1709">
      <c r="J1709" s="71" t="n"/>
    </row>
    <row r="1710">
      <c r="J1710" s="71" t="n"/>
    </row>
    <row r="1711">
      <c r="J1711" s="71" t="n"/>
    </row>
    <row r="1712">
      <c r="J1712" s="71" t="n"/>
    </row>
    <row r="1713">
      <c r="J1713" s="71" t="n"/>
    </row>
    <row r="1714">
      <c r="J1714" s="71" t="n"/>
    </row>
    <row r="1715">
      <c r="J1715" s="71" t="n"/>
    </row>
    <row r="1716">
      <c r="J1716" s="71" t="n"/>
    </row>
    <row r="1717">
      <c r="J1717" s="71" t="n"/>
    </row>
    <row r="1718">
      <c r="J1718" s="71" t="n"/>
    </row>
    <row r="1719">
      <c r="J1719" s="71" t="n"/>
    </row>
    <row r="1720">
      <c r="J1720" s="71" t="n"/>
    </row>
    <row r="1721">
      <c r="J1721" s="71" t="n"/>
    </row>
    <row r="1722">
      <c r="J1722" s="71" t="n"/>
    </row>
    <row r="1723">
      <c r="J1723" s="71" t="n"/>
    </row>
    <row r="1724">
      <c r="J1724" s="71" t="n"/>
    </row>
    <row r="1725">
      <c r="J1725" s="71" t="n"/>
    </row>
    <row r="1726">
      <c r="J1726" s="71" t="n"/>
    </row>
    <row r="1727">
      <c r="J1727" s="71" t="n"/>
    </row>
    <row r="1728">
      <c r="J1728" s="71" t="n"/>
    </row>
    <row r="1729">
      <c r="J1729" s="71" t="n"/>
    </row>
    <row r="1730">
      <c r="J1730" s="71" t="n"/>
    </row>
    <row r="1731">
      <c r="J1731" s="71" t="n"/>
    </row>
    <row r="1732">
      <c r="J1732" s="71" t="n"/>
    </row>
    <row r="1733">
      <c r="J1733" s="71" t="n"/>
    </row>
    <row r="1734">
      <c r="J1734" s="71" t="n"/>
    </row>
    <row r="1735">
      <c r="J1735" s="71" t="n"/>
    </row>
    <row r="1736">
      <c r="J1736" s="71" t="n"/>
    </row>
    <row r="1737">
      <c r="J1737" s="71" t="n"/>
    </row>
    <row r="1738">
      <c r="J1738" s="71" t="n"/>
    </row>
    <row r="1739">
      <c r="J1739" s="71" t="n"/>
    </row>
    <row r="1740">
      <c r="J1740" s="71" t="n"/>
    </row>
    <row r="1741">
      <c r="J1741" s="71" t="n"/>
    </row>
    <row r="1742">
      <c r="J1742" s="71" t="n"/>
    </row>
    <row r="1743">
      <c r="J1743" s="71" t="n"/>
    </row>
    <row r="1744">
      <c r="J1744" s="71" t="n"/>
    </row>
    <row r="1745">
      <c r="J1745" s="71" t="n"/>
    </row>
    <row r="1746">
      <c r="J1746" s="71" t="n"/>
    </row>
    <row r="1747">
      <c r="J1747" s="71" t="n"/>
    </row>
    <row r="1748">
      <c r="J1748" s="71" t="n"/>
    </row>
    <row r="1749">
      <c r="J1749" s="71" t="n"/>
    </row>
    <row r="1750">
      <c r="J1750" s="71" t="n"/>
    </row>
    <row r="1751">
      <c r="J1751" s="71" t="n"/>
    </row>
    <row r="1752">
      <c r="J1752" s="71" t="n"/>
    </row>
    <row r="1753">
      <c r="J1753" s="71" t="n"/>
    </row>
    <row r="1754">
      <c r="J1754" s="71" t="n"/>
    </row>
    <row r="1755">
      <c r="J1755" s="71" t="n"/>
    </row>
    <row r="1756">
      <c r="J1756" s="71" t="n"/>
    </row>
    <row r="1757">
      <c r="J1757" s="71" t="n"/>
    </row>
    <row r="1758">
      <c r="J1758" s="71" t="n"/>
    </row>
    <row r="1759">
      <c r="J1759" s="71" t="n"/>
    </row>
    <row r="1760">
      <c r="J1760" s="71" t="n"/>
    </row>
    <row r="1761">
      <c r="J1761" s="71" t="n"/>
    </row>
    <row r="1762">
      <c r="J1762" s="71" t="n"/>
    </row>
    <row r="1763">
      <c r="J1763" s="71" t="n"/>
    </row>
    <row r="1764">
      <c r="J1764" s="71" t="n"/>
    </row>
    <row r="1765">
      <c r="J1765" s="71" t="n"/>
    </row>
    <row r="1766">
      <c r="J1766" s="71" t="n"/>
    </row>
    <row r="1767">
      <c r="J1767" s="71" t="n"/>
    </row>
    <row r="1768">
      <c r="J1768" s="71" t="n"/>
    </row>
    <row r="1769">
      <c r="J1769" s="71" t="n"/>
    </row>
    <row r="1770">
      <c r="J1770" s="71" t="n"/>
    </row>
    <row r="1771">
      <c r="J1771" s="71" t="n"/>
    </row>
    <row r="1772">
      <c r="J1772" s="71" t="n"/>
    </row>
    <row r="1773">
      <c r="J1773" s="71" t="n"/>
    </row>
    <row r="1774">
      <c r="J1774" s="71" t="n"/>
    </row>
    <row r="1775">
      <c r="J1775" s="71" t="n"/>
    </row>
    <row r="1776">
      <c r="J1776" s="71" t="n"/>
    </row>
    <row r="1777">
      <c r="J1777" s="71" t="n"/>
    </row>
    <row r="1778">
      <c r="J1778" s="71" t="n"/>
    </row>
    <row r="1779">
      <c r="J1779" s="71" t="n"/>
    </row>
    <row r="1780">
      <c r="J1780" s="71" t="n"/>
    </row>
    <row r="1781">
      <c r="J1781" s="71" t="n"/>
    </row>
    <row r="1782">
      <c r="J1782" s="71" t="n"/>
    </row>
    <row r="1783">
      <c r="J1783" s="71" t="n"/>
    </row>
    <row r="1784">
      <c r="J1784" s="71" t="n"/>
    </row>
    <row r="1785">
      <c r="J1785" s="71" t="n"/>
    </row>
    <row r="1786">
      <c r="J1786" s="71" t="n"/>
    </row>
    <row r="1787">
      <c r="J1787" s="71" t="n"/>
    </row>
    <row r="1788">
      <c r="J1788" s="71" t="n"/>
    </row>
    <row r="1789">
      <c r="J1789" s="71" t="n"/>
    </row>
    <row r="1790">
      <c r="J1790" s="71" t="n"/>
    </row>
    <row r="1791">
      <c r="J1791" s="71" t="n"/>
    </row>
    <row r="1792">
      <c r="J1792" s="71" t="n"/>
    </row>
    <row r="1793">
      <c r="J1793" s="71" t="n"/>
    </row>
    <row r="1794">
      <c r="J1794" s="71" t="n"/>
    </row>
    <row r="1795">
      <c r="J1795" s="71" t="n"/>
    </row>
    <row r="1796">
      <c r="J1796" s="71" t="n"/>
    </row>
    <row r="1797">
      <c r="J1797" s="71" t="n"/>
    </row>
    <row r="1798">
      <c r="J1798" s="71" t="n"/>
    </row>
    <row r="1799">
      <c r="J1799" s="71" t="n"/>
    </row>
    <row r="1800">
      <c r="J1800" s="71" t="n"/>
    </row>
    <row r="1801">
      <c r="J1801" s="71" t="n"/>
    </row>
    <row r="1802">
      <c r="J1802" s="71" t="n"/>
    </row>
    <row r="1803">
      <c r="J1803" s="71" t="n"/>
    </row>
    <row r="1804">
      <c r="J1804" s="71" t="n"/>
    </row>
    <row r="1805">
      <c r="J1805" s="71" t="n"/>
    </row>
    <row r="1806">
      <c r="J1806" s="71" t="n"/>
    </row>
    <row r="1807">
      <c r="J1807" s="71" t="n"/>
    </row>
    <row r="1808">
      <c r="J1808" s="71" t="n"/>
    </row>
    <row r="1809">
      <c r="J1809" s="71" t="n"/>
    </row>
    <row r="1810">
      <c r="J1810" s="71" t="n"/>
    </row>
    <row r="1811">
      <c r="J1811" s="71" t="n"/>
    </row>
    <row r="1812">
      <c r="J1812" s="71" t="n"/>
    </row>
    <row r="1813">
      <c r="J1813" s="71" t="n"/>
    </row>
    <row r="1814">
      <c r="J1814" s="71" t="n"/>
    </row>
    <row r="1815">
      <c r="J1815" s="71" t="n"/>
    </row>
    <row r="1816">
      <c r="J1816" s="71" t="n"/>
    </row>
    <row r="1817">
      <c r="J1817" s="71" t="n"/>
    </row>
    <row r="1818">
      <c r="J1818" s="71" t="n"/>
    </row>
    <row r="1819">
      <c r="J1819" s="71" t="n"/>
    </row>
    <row r="1820">
      <c r="J1820" s="71" t="n"/>
    </row>
    <row r="1821">
      <c r="J1821" s="71" t="n"/>
    </row>
    <row r="1822">
      <c r="J1822" s="71" t="n"/>
    </row>
    <row r="1823">
      <c r="J1823" s="71" t="n"/>
    </row>
    <row r="1824">
      <c r="J1824" s="71" t="n"/>
    </row>
    <row r="1825">
      <c r="J1825" s="71" t="n"/>
    </row>
    <row r="1826">
      <c r="J1826" s="71" t="n"/>
    </row>
    <row r="1827">
      <c r="J1827" s="71" t="n"/>
    </row>
    <row r="1828">
      <c r="J1828" s="71" t="n"/>
    </row>
    <row r="1829">
      <c r="J1829" s="71" t="n"/>
    </row>
    <row r="1830">
      <c r="J1830" s="71" t="n"/>
    </row>
    <row r="1831">
      <c r="J1831" s="71" t="n"/>
    </row>
    <row r="1832">
      <c r="J1832" s="71" t="n"/>
    </row>
    <row r="1833">
      <c r="J1833" s="71" t="n"/>
    </row>
    <row r="1834">
      <c r="J1834" s="71" t="n"/>
    </row>
    <row r="1835">
      <c r="J1835" s="71" t="n"/>
    </row>
    <row r="1836">
      <c r="J1836" s="71" t="n"/>
    </row>
    <row r="1837">
      <c r="J1837" s="71" t="n"/>
    </row>
    <row r="1838">
      <c r="J1838" s="71" t="n"/>
    </row>
    <row r="1839">
      <c r="J1839" s="71" t="n"/>
    </row>
    <row r="1840">
      <c r="J1840" s="71" t="n"/>
    </row>
    <row r="1841">
      <c r="J1841" s="71" t="n"/>
    </row>
    <row r="1842">
      <c r="J1842" s="71" t="n"/>
    </row>
    <row r="1843">
      <c r="J1843" s="71" t="n"/>
    </row>
    <row r="1844">
      <c r="J1844" s="71" t="n"/>
    </row>
    <row r="1845">
      <c r="J1845" s="71" t="n"/>
    </row>
    <row r="1846">
      <c r="J1846" s="71" t="n"/>
    </row>
    <row r="1847">
      <c r="J1847" s="71" t="n"/>
    </row>
    <row r="1848">
      <c r="J1848" s="71" t="n"/>
    </row>
    <row r="1849">
      <c r="J1849" s="71" t="n"/>
    </row>
    <row r="1850">
      <c r="J1850" s="71" t="n"/>
    </row>
    <row r="1851">
      <c r="J1851" s="71" t="n"/>
    </row>
    <row r="1852">
      <c r="J1852" s="71" t="n"/>
    </row>
    <row r="1853">
      <c r="J1853" s="71" t="n"/>
    </row>
    <row r="1854">
      <c r="J1854" s="71" t="n"/>
    </row>
    <row r="1855">
      <c r="J1855" s="71" t="n"/>
    </row>
    <row r="1856">
      <c r="J1856" s="71" t="n"/>
    </row>
    <row r="1857">
      <c r="J1857" s="71" t="n"/>
    </row>
    <row r="1858">
      <c r="J1858" s="71" t="n"/>
    </row>
    <row r="1859">
      <c r="J1859" s="71" t="n"/>
    </row>
    <row r="1860">
      <c r="J1860" s="71" t="n"/>
    </row>
    <row r="1861">
      <c r="J1861" s="71" t="n"/>
    </row>
    <row r="1862">
      <c r="J1862" s="71" t="n"/>
    </row>
    <row r="1863">
      <c r="J1863" s="71" t="n"/>
    </row>
    <row r="1864">
      <c r="J1864" s="71" t="n"/>
    </row>
    <row r="1865">
      <c r="J1865" s="71" t="n"/>
    </row>
    <row r="1866">
      <c r="J1866" s="71" t="n"/>
    </row>
    <row r="1867">
      <c r="J1867" s="71" t="n"/>
    </row>
    <row r="1868">
      <c r="J1868" s="71" t="n"/>
    </row>
    <row r="1869">
      <c r="J1869" s="71" t="n"/>
    </row>
    <row r="1870">
      <c r="J1870" s="71" t="n"/>
    </row>
    <row r="1871">
      <c r="J1871" s="71" t="n"/>
    </row>
    <row r="1872">
      <c r="J1872" s="71" t="n"/>
    </row>
    <row r="1873">
      <c r="J1873" s="71" t="n"/>
    </row>
    <row r="1874">
      <c r="J1874" s="71" t="n"/>
    </row>
    <row r="1875">
      <c r="J1875" s="71" t="n"/>
    </row>
    <row r="1876">
      <c r="J1876" s="71" t="n"/>
    </row>
    <row r="1877">
      <c r="J1877" s="71" t="n"/>
    </row>
    <row r="1878">
      <c r="J1878" s="71" t="n"/>
    </row>
    <row r="1879">
      <c r="J1879" s="71" t="n"/>
    </row>
    <row r="1880">
      <c r="J1880" s="71" t="n"/>
    </row>
    <row r="1881">
      <c r="J1881" s="71" t="n"/>
    </row>
    <row r="1882">
      <c r="J1882" s="71" t="n"/>
    </row>
    <row r="1883">
      <c r="J1883" s="71" t="n"/>
    </row>
    <row r="1884">
      <c r="J1884" s="71" t="n"/>
    </row>
    <row r="1885">
      <c r="J1885" s="71" t="n"/>
    </row>
    <row r="1886">
      <c r="J1886" s="71" t="n"/>
    </row>
    <row r="1887">
      <c r="J1887" s="71" t="n"/>
    </row>
    <row r="1888">
      <c r="J1888" s="71" t="n"/>
    </row>
    <row r="1889">
      <c r="J1889" s="71" t="n"/>
    </row>
    <row r="1890">
      <c r="J1890" s="71" t="n"/>
    </row>
    <row r="1891">
      <c r="J1891" s="71" t="n"/>
    </row>
    <row r="1892">
      <c r="J1892" s="71" t="n"/>
    </row>
    <row r="1893">
      <c r="J1893" s="71" t="n"/>
    </row>
    <row r="1894">
      <c r="J1894" s="71" t="n"/>
    </row>
    <row r="1895">
      <c r="J1895" s="71" t="n"/>
    </row>
    <row r="1896">
      <c r="J1896" s="71" t="n"/>
    </row>
    <row r="1897">
      <c r="J1897" s="71" t="n"/>
    </row>
    <row r="1898">
      <c r="J1898" s="71" t="n"/>
    </row>
    <row r="1899">
      <c r="J1899" s="71" t="n"/>
    </row>
    <row r="1900">
      <c r="J1900" s="71" t="n"/>
    </row>
    <row r="1901">
      <c r="J1901" s="71" t="n"/>
    </row>
    <row r="1902">
      <c r="J1902" s="71" t="n"/>
    </row>
    <row r="1903">
      <c r="J1903" s="71" t="n"/>
    </row>
    <row r="1904">
      <c r="J1904" s="71" t="n"/>
    </row>
    <row r="1905">
      <c r="J1905" s="71" t="n"/>
    </row>
    <row r="1906">
      <c r="J1906" s="71" t="n"/>
    </row>
    <row r="1907">
      <c r="J1907" s="71" t="n"/>
    </row>
    <row r="1908">
      <c r="J1908" s="71" t="n"/>
    </row>
    <row r="1909">
      <c r="J1909" s="71" t="n"/>
    </row>
    <row r="1910">
      <c r="J1910" s="71" t="n"/>
    </row>
    <row r="1911">
      <c r="J1911" s="71" t="n"/>
    </row>
    <row r="1912">
      <c r="J1912" s="71" t="n"/>
    </row>
    <row r="1913">
      <c r="J1913" s="71" t="n"/>
    </row>
    <row r="1914">
      <c r="J1914" s="71" t="n"/>
    </row>
    <row r="1915">
      <c r="J1915" s="71" t="n"/>
    </row>
    <row r="1916">
      <c r="J1916" s="71" t="n"/>
    </row>
    <row r="1917">
      <c r="J1917" s="71" t="n"/>
    </row>
    <row r="1918">
      <c r="J1918" s="71" t="n"/>
    </row>
    <row r="1919">
      <c r="J1919" s="71" t="n"/>
    </row>
    <row r="1920">
      <c r="J1920" s="71" t="n"/>
    </row>
    <row r="1921">
      <c r="J1921" s="71" t="n"/>
    </row>
    <row r="1922">
      <c r="J1922" s="71" t="n"/>
    </row>
    <row r="1923">
      <c r="J1923" s="71" t="n"/>
    </row>
    <row r="1924">
      <c r="J1924" s="71" t="n"/>
    </row>
    <row r="1925">
      <c r="J1925" s="71" t="n"/>
    </row>
    <row r="1926">
      <c r="J1926" s="71" t="n"/>
    </row>
    <row r="1927">
      <c r="J1927" s="71" t="n"/>
    </row>
    <row r="1928">
      <c r="J1928" s="71" t="n"/>
    </row>
    <row r="1929">
      <c r="J1929" s="71" t="n"/>
    </row>
    <row r="1930">
      <c r="J1930" s="71" t="n"/>
    </row>
    <row r="1931">
      <c r="J1931" s="71" t="n"/>
    </row>
    <row r="1932">
      <c r="J1932" s="71" t="n"/>
    </row>
    <row r="1933">
      <c r="J1933" s="71" t="n"/>
    </row>
    <row r="1934">
      <c r="J1934" s="71" t="n"/>
    </row>
    <row r="1935">
      <c r="J1935" s="71" t="n"/>
    </row>
    <row r="1936">
      <c r="J1936" s="71" t="n"/>
    </row>
    <row r="1937">
      <c r="J1937" s="71" t="n"/>
    </row>
    <row r="1938">
      <c r="J1938" s="71" t="n"/>
    </row>
    <row r="1939">
      <c r="J1939" s="71" t="n"/>
    </row>
    <row r="1940">
      <c r="J1940" s="71" t="n"/>
    </row>
    <row r="1941">
      <c r="J1941" s="71" t="n"/>
    </row>
    <row r="1942">
      <c r="J1942" s="71" t="n"/>
    </row>
    <row r="1943">
      <c r="J1943" s="71" t="n"/>
    </row>
    <row r="1944">
      <c r="J1944" s="71" t="n"/>
    </row>
    <row r="1945">
      <c r="J1945" s="71" t="n"/>
    </row>
    <row r="1946">
      <c r="J1946" s="71" t="n"/>
    </row>
    <row r="1947">
      <c r="J1947" s="71" t="n"/>
    </row>
    <row r="1948">
      <c r="J1948" s="71" t="n"/>
    </row>
    <row r="1949">
      <c r="J1949" s="71" t="n"/>
    </row>
    <row r="1950">
      <c r="J1950" s="71" t="n"/>
    </row>
    <row r="1951">
      <c r="J1951" s="71" t="n"/>
    </row>
    <row r="1952">
      <c r="J1952" s="71" t="n"/>
    </row>
    <row r="1953">
      <c r="J1953" s="71" t="n"/>
    </row>
    <row r="1954">
      <c r="J1954" s="71" t="n"/>
    </row>
    <row r="1955">
      <c r="J1955" s="71" t="n"/>
    </row>
    <row r="1956">
      <c r="J1956" s="71" t="n"/>
    </row>
    <row r="1957">
      <c r="J1957" s="71" t="n"/>
    </row>
    <row r="1958">
      <c r="J1958" s="71" t="n"/>
    </row>
    <row r="1959">
      <c r="J1959" s="71" t="n"/>
    </row>
    <row r="1960">
      <c r="J1960" s="71" t="n"/>
    </row>
    <row r="1961">
      <c r="J1961" s="71" t="n"/>
    </row>
    <row r="1962">
      <c r="J1962" s="71" t="n"/>
    </row>
    <row r="1963">
      <c r="J1963" s="71" t="n"/>
    </row>
    <row r="1964">
      <c r="J1964" s="71" t="n"/>
    </row>
    <row r="1965">
      <c r="J1965" s="71" t="n"/>
    </row>
    <row r="1966">
      <c r="J1966" s="71" t="n"/>
    </row>
    <row r="1967">
      <c r="J1967" s="71" t="n"/>
    </row>
    <row r="1968">
      <c r="J1968" s="71" t="n"/>
    </row>
    <row r="1969">
      <c r="J1969" s="71" t="n"/>
    </row>
    <row r="1970">
      <c r="J1970" s="71" t="n"/>
    </row>
    <row r="1971">
      <c r="J1971" s="71" t="n"/>
    </row>
    <row r="1972">
      <c r="J1972" s="71" t="n"/>
    </row>
    <row r="1973">
      <c r="J1973" s="71" t="n"/>
    </row>
    <row r="1974">
      <c r="J1974" s="71" t="n"/>
    </row>
    <row r="1975">
      <c r="J1975" s="71" t="n"/>
    </row>
    <row r="1976">
      <c r="J1976" s="71" t="n"/>
    </row>
    <row r="1977">
      <c r="J1977" s="71" t="n"/>
    </row>
    <row r="1978">
      <c r="J1978" s="71" t="n"/>
    </row>
    <row r="1979">
      <c r="J1979" s="71" t="n"/>
    </row>
    <row r="1980">
      <c r="J1980" s="71" t="n"/>
    </row>
    <row r="1981">
      <c r="J1981" s="71" t="n"/>
    </row>
    <row r="1982">
      <c r="J1982" s="71" t="n"/>
    </row>
    <row r="1983">
      <c r="J1983" s="71" t="n"/>
    </row>
    <row r="1984">
      <c r="J1984" s="71" t="n"/>
    </row>
    <row r="1985">
      <c r="J1985" s="71" t="n"/>
    </row>
    <row r="1986">
      <c r="J1986" s="71" t="n"/>
    </row>
    <row r="1987">
      <c r="J1987" s="71" t="n"/>
    </row>
    <row r="1988">
      <c r="J1988" s="71" t="n"/>
    </row>
    <row r="1989">
      <c r="J1989" s="71" t="n"/>
    </row>
    <row r="1990">
      <c r="J1990" s="71" t="n"/>
    </row>
    <row r="1991">
      <c r="J1991" s="71" t="n"/>
    </row>
    <row r="1992">
      <c r="J1992" s="71" t="n"/>
    </row>
    <row r="1993">
      <c r="J1993" s="71" t="n"/>
    </row>
    <row r="1994">
      <c r="J1994" s="71" t="n"/>
    </row>
    <row r="1995">
      <c r="J1995" s="71" t="n"/>
    </row>
    <row r="1996">
      <c r="J1996" s="71" t="n"/>
    </row>
    <row r="1997">
      <c r="J1997" s="71" t="n"/>
    </row>
    <row r="1998">
      <c r="J1998" s="71" t="n"/>
    </row>
    <row r="1999">
      <c r="J1999" s="71" t="n"/>
    </row>
    <row r="2000">
      <c r="J2000" s="71" t="n"/>
    </row>
    <row r="2001">
      <c r="J2001" s="71" t="n"/>
    </row>
    <row r="2002">
      <c r="J2002" s="71" t="n"/>
    </row>
    <row r="2003">
      <c r="J2003" s="71" t="n"/>
    </row>
    <row r="2004">
      <c r="J2004" s="71" t="n"/>
    </row>
    <row r="2005">
      <c r="J2005" s="71" t="n"/>
    </row>
    <row r="2006">
      <c r="J2006" s="71" t="n"/>
    </row>
    <row r="2007">
      <c r="J2007" s="71" t="n"/>
    </row>
    <row r="2008">
      <c r="J2008" s="71" t="n"/>
    </row>
    <row r="2009">
      <c r="J2009" s="71" t="n"/>
    </row>
    <row r="2010">
      <c r="J2010" s="71" t="n"/>
    </row>
    <row r="2011">
      <c r="J2011" s="71" t="n"/>
    </row>
    <row r="2012">
      <c r="J2012" s="71" t="n"/>
    </row>
    <row r="2013">
      <c r="J2013" s="71" t="n"/>
    </row>
    <row r="2014">
      <c r="J2014" s="71" t="n"/>
    </row>
    <row r="2015">
      <c r="J2015" s="71" t="n"/>
    </row>
    <row r="2016">
      <c r="J2016" s="71" t="n"/>
    </row>
    <row r="2017">
      <c r="J2017" s="71" t="n"/>
    </row>
    <row r="2018">
      <c r="J2018" s="71" t="n"/>
    </row>
    <row r="2019">
      <c r="J2019" s="71" t="n"/>
    </row>
    <row r="2020">
      <c r="J2020" s="71" t="n"/>
    </row>
    <row r="2021">
      <c r="J2021" s="71" t="n"/>
    </row>
    <row r="2022">
      <c r="J2022" s="71" t="n"/>
    </row>
    <row r="2023">
      <c r="J2023" s="71" t="n"/>
    </row>
    <row r="2024">
      <c r="J2024" s="71" t="n"/>
    </row>
    <row r="2025">
      <c r="J2025" s="71" t="n"/>
    </row>
    <row r="2026">
      <c r="J2026" s="71" t="n"/>
    </row>
    <row r="2027">
      <c r="J2027" s="71" t="n"/>
    </row>
    <row r="2028">
      <c r="J2028" s="71" t="n"/>
    </row>
    <row r="2029">
      <c r="J2029" s="71" t="n"/>
    </row>
    <row r="2030">
      <c r="J2030" s="71" t="n"/>
    </row>
    <row r="2031">
      <c r="J2031" s="71" t="n"/>
    </row>
    <row r="2032">
      <c r="J2032" s="71" t="n"/>
    </row>
    <row r="2033">
      <c r="J2033" s="71" t="n"/>
    </row>
    <row r="2034">
      <c r="J2034" s="71" t="n"/>
    </row>
    <row r="2035">
      <c r="J2035" s="71" t="n"/>
    </row>
    <row r="2036">
      <c r="J2036" s="71" t="n"/>
    </row>
    <row r="2037">
      <c r="J2037" s="71" t="n"/>
    </row>
    <row r="2038">
      <c r="J2038" s="71" t="n"/>
    </row>
    <row r="2039">
      <c r="J2039" s="71" t="n"/>
    </row>
    <row r="2040">
      <c r="J2040" s="71" t="n"/>
    </row>
    <row r="2041">
      <c r="J2041" s="71" t="n"/>
    </row>
    <row r="2042">
      <c r="J2042" s="71" t="n"/>
    </row>
    <row r="2043">
      <c r="J2043" s="71" t="n"/>
    </row>
    <row r="2044">
      <c r="J2044" s="71" t="n"/>
    </row>
    <row r="2045">
      <c r="J2045" s="71" t="n"/>
    </row>
    <row r="2046">
      <c r="J2046" s="71" t="n"/>
    </row>
    <row r="2047">
      <c r="J2047" s="71" t="n"/>
    </row>
    <row r="2048">
      <c r="J2048" s="71" t="n"/>
    </row>
    <row r="2049">
      <c r="J2049" s="71" t="n"/>
    </row>
    <row r="2050">
      <c r="J2050" s="71" t="n"/>
    </row>
    <row r="2051">
      <c r="J2051" s="71" t="n"/>
    </row>
    <row r="2052">
      <c r="J2052" s="71" t="n"/>
    </row>
    <row r="2053">
      <c r="J2053" s="71" t="n"/>
    </row>
    <row r="2054">
      <c r="J2054" s="71" t="n"/>
    </row>
    <row r="2055">
      <c r="J2055" s="71" t="n"/>
    </row>
    <row r="2056">
      <c r="J2056" s="71" t="n"/>
    </row>
    <row r="2057">
      <c r="J2057" s="71" t="n"/>
    </row>
    <row r="2058">
      <c r="J2058" s="71" t="n"/>
    </row>
    <row r="2059">
      <c r="J2059" s="71" t="n"/>
    </row>
    <row r="2060">
      <c r="J2060" s="71" t="n"/>
    </row>
    <row r="2061">
      <c r="J2061" s="71" t="n"/>
    </row>
    <row r="2062">
      <c r="J2062" s="71" t="n"/>
    </row>
    <row r="2063">
      <c r="J2063" s="71" t="n"/>
    </row>
    <row r="2064">
      <c r="J2064" s="71" t="n"/>
    </row>
    <row r="2065">
      <c r="J2065" s="71" t="n"/>
    </row>
    <row r="2066">
      <c r="J2066" s="71" t="n"/>
    </row>
    <row r="2067">
      <c r="J2067" s="71" t="n"/>
    </row>
    <row r="2068">
      <c r="J2068" s="71" t="n"/>
    </row>
    <row r="2069">
      <c r="J2069" s="71" t="n"/>
    </row>
    <row r="2070">
      <c r="J2070" s="71" t="n"/>
    </row>
    <row r="2071">
      <c r="J2071" s="71" t="n"/>
    </row>
    <row r="2072">
      <c r="J2072" s="71" t="n"/>
    </row>
    <row r="2073">
      <c r="J2073" s="71" t="n"/>
    </row>
    <row r="2074">
      <c r="J2074" s="71" t="n"/>
    </row>
    <row r="2075">
      <c r="J2075" s="71" t="n"/>
    </row>
    <row r="2076">
      <c r="J2076" s="71" t="n"/>
    </row>
    <row r="2077">
      <c r="J2077" s="71" t="n"/>
    </row>
    <row r="2078">
      <c r="J2078" s="71" t="n"/>
    </row>
    <row r="2079">
      <c r="J2079" s="71" t="n"/>
    </row>
    <row r="2080">
      <c r="J2080" s="71" t="n"/>
    </row>
    <row r="2081">
      <c r="J2081" s="71" t="n"/>
    </row>
    <row r="2082">
      <c r="J2082" s="71" t="n"/>
    </row>
    <row r="2083">
      <c r="J2083" s="71" t="n"/>
    </row>
    <row r="2084">
      <c r="J2084" s="71" t="n"/>
    </row>
    <row r="2085">
      <c r="J2085" s="71" t="n"/>
    </row>
    <row r="2086">
      <c r="J2086" s="71" t="n"/>
    </row>
    <row r="2087">
      <c r="J2087" s="71" t="n"/>
    </row>
    <row r="2088">
      <c r="J2088" s="71" t="n"/>
    </row>
    <row r="2089">
      <c r="J2089" s="71" t="n"/>
    </row>
    <row r="2090">
      <c r="J2090" s="71" t="n"/>
    </row>
    <row r="2091">
      <c r="J2091" s="71" t="n"/>
    </row>
    <row r="2092">
      <c r="J2092" s="71" t="n"/>
    </row>
    <row r="2093">
      <c r="J2093" s="71" t="n"/>
    </row>
    <row r="2094">
      <c r="J2094" s="71" t="n"/>
    </row>
    <row r="2095">
      <c r="J2095" s="71" t="n"/>
    </row>
    <row r="2096">
      <c r="J2096" s="71" t="n"/>
    </row>
    <row r="2097">
      <c r="J2097" s="71" t="n"/>
    </row>
    <row r="2098">
      <c r="J2098" s="71" t="n"/>
    </row>
    <row r="2099">
      <c r="J2099" s="71" t="n"/>
    </row>
    <row r="2100">
      <c r="J2100" s="71" t="n"/>
    </row>
    <row r="2101">
      <c r="J2101" s="71" t="n"/>
    </row>
    <row r="2102">
      <c r="J2102" s="71" t="n"/>
    </row>
    <row r="2103">
      <c r="J2103" s="71" t="n"/>
    </row>
    <row r="2104">
      <c r="J2104" s="71" t="n"/>
    </row>
    <row r="2105">
      <c r="J2105" s="71" t="n"/>
    </row>
    <row r="2106">
      <c r="J2106" s="71" t="n"/>
    </row>
    <row r="2107">
      <c r="J2107" s="71" t="n"/>
    </row>
    <row r="2108">
      <c r="J2108" s="71" t="n"/>
    </row>
    <row r="2109">
      <c r="J2109" s="71" t="n"/>
    </row>
    <row r="2110">
      <c r="J2110" s="71" t="n"/>
    </row>
    <row r="2111">
      <c r="J2111" s="71" t="n"/>
    </row>
    <row r="2112">
      <c r="J2112" s="71" t="n"/>
    </row>
    <row r="2113">
      <c r="J2113" s="71" t="n"/>
    </row>
    <row r="2114">
      <c r="J2114" s="71" t="n"/>
    </row>
    <row r="2115">
      <c r="J2115" s="71" t="n"/>
    </row>
    <row r="2116">
      <c r="J2116" s="71" t="n"/>
    </row>
    <row r="2117">
      <c r="J2117" s="71" t="n"/>
    </row>
    <row r="2118">
      <c r="J2118" s="71" t="n"/>
    </row>
    <row r="2119">
      <c r="J2119" s="71" t="n"/>
    </row>
    <row r="2120">
      <c r="J2120" s="71" t="n"/>
    </row>
    <row r="2121">
      <c r="J2121" s="71" t="n"/>
    </row>
    <row r="2122">
      <c r="J2122" s="71" t="n"/>
    </row>
    <row r="2123">
      <c r="J2123" s="71" t="n"/>
    </row>
    <row r="2124">
      <c r="J2124" s="71" t="n"/>
    </row>
    <row r="2125">
      <c r="J2125" s="71" t="n"/>
    </row>
    <row r="2126">
      <c r="J2126" s="71" t="n"/>
    </row>
    <row r="2127">
      <c r="J2127" s="71" t="n"/>
    </row>
    <row r="2128">
      <c r="J2128" s="71" t="n"/>
    </row>
    <row r="2129">
      <c r="J2129" s="71" t="n"/>
    </row>
    <row r="2130">
      <c r="J2130" s="71" t="n"/>
    </row>
    <row r="2131">
      <c r="J2131" s="71" t="n"/>
    </row>
    <row r="2132">
      <c r="J2132" s="71" t="n"/>
    </row>
    <row r="2133">
      <c r="J2133" s="71" t="n"/>
    </row>
    <row r="2134">
      <c r="J2134" s="71" t="n"/>
    </row>
    <row r="2135">
      <c r="J2135" s="71" t="n"/>
    </row>
    <row r="2136">
      <c r="J2136" s="71" t="n"/>
    </row>
    <row r="2137">
      <c r="J2137" s="71" t="n"/>
    </row>
    <row r="2138">
      <c r="J2138" s="71" t="n"/>
    </row>
    <row r="2139">
      <c r="J2139" s="71" t="n"/>
    </row>
    <row r="2140">
      <c r="J2140" s="71" t="n"/>
    </row>
    <row r="2141">
      <c r="J2141" s="71" t="n"/>
    </row>
    <row r="2142">
      <c r="J2142" s="71" t="n"/>
    </row>
    <row r="2143">
      <c r="J2143" s="71" t="n"/>
    </row>
    <row r="2144">
      <c r="J2144" s="71" t="n"/>
    </row>
    <row r="2145">
      <c r="J2145" s="71" t="n"/>
    </row>
    <row r="2146">
      <c r="J2146" s="71" t="n"/>
    </row>
    <row r="2147">
      <c r="J2147" s="71" t="n"/>
    </row>
    <row r="2148">
      <c r="J2148" s="71" t="n"/>
    </row>
    <row r="2149">
      <c r="J2149" s="71" t="n"/>
    </row>
    <row r="2150">
      <c r="J2150" s="71" t="n"/>
    </row>
    <row r="2151">
      <c r="J2151" s="71" t="n"/>
    </row>
    <row r="2152">
      <c r="J2152" s="71" t="n"/>
    </row>
    <row r="2153">
      <c r="J2153" s="71" t="n"/>
    </row>
    <row r="2154">
      <c r="J2154" s="71" t="n"/>
    </row>
    <row r="2155">
      <c r="J2155" s="71" t="n"/>
    </row>
    <row r="2156">
      <c r="J2156" s="71" t="n"/>
    </row>
    <row r="2157">
      <c r="J2157" s="71" t="n"/>
    </row>
    <row r="2158">
      <c r="J2158" s="71" t="n"/>
    </row>
    <row r="2159">
      <c r="J2159" s="71" t="n"/>
    </row>
    <row r="2160">
      <c r="J2160" s="71" t="n"/>
    </row>
    <row r="2161">
      <c r="J2161" s="71" t="n"/>
    </row>
    <row r="2162">
      <c r="J2162" s="71" t="n"/>
    </row>
    <row r="2163">
      <c r="J2163" s="71" t="n"/>
    </row>
    <row r="2164">
      <c r="J2164" s="71" t="n"/>
    </row>
    <row r="2165">
      <c r="J2165" s="71" t="n"/>
    </row>
    <row r="2166">
      <c r="J2166" s="71" t="n"/>
    </row>
    <row r="2167">
      <c r="J2167" s="71" t="n"/>
    </row>
    <row r="2168">
      <c r="J2168" s="71" t="n"/>
    </row>
    <row r="2169">
      <c r="J2169" s="71" t="n"/>
    </row>
    <row r="2170">
      <c r="J2170" s="71" t="n"/>
    </row>
    <row r="2171">
      <c r="J2171" s="71" t="n"/>
    </row>
    <row r="2172">
      <c r="J2172" s="71" t="n"/>
    </row>
    <row r="2173">
      <c r="J2173" s="71" t="n"/>
    </row>
    <row r="2174">
      <c r="J2174" s="71" t="n"/>
    </row>
    <row r="2175">
      <c r="J2175" s="71" t="n"/>
    </row>
    <row r="2176">
      <c r="J2176" s="71" t="n"/>
    </row>
    <row r="2177">
      <c r="J2177" s="71" t="n"/>
    </row>
    <row r="2178">
      <c r="J2178" s="71" t="n"/>
    </row>
    <row r="2179">
      <c r="J2179" s="71" t="n"/>
    </row>
    <row r="2180">
      <c r="J2180" s="71" t="n"/>
    </row>
    <row r="2181">
      <c r="J2181" s="71" t="n"/>
    </row>
    <row r="2182">
      <c r="J2182" s="71" t="n"/>
    </row>
    <row r="2183">
      <c r="J2183" s="71" t="n"/>
    </row>
    <row r="2184">
      <c r="J2184" s="71" t="n"/>
    </row>
    <row r="2185">
      <c r="J2185" s="71" t="n"/>
    </row>
    <row r="2186">
      <c r="J2186" s="71" t="n"/>
    </row>
    <row r="2187">
      <c r="J2187" s="71" t="n"/>
    </row>
    <row r="2188">
      <c r="J2188" s="71" t="n"/>
    </row>
    <row r="2189">
      <c r="J2189" s="71" t="n"/>
    </row>
    <row r="2190">
      <c r="J2190" s="71" t="n"/>
    </row>
    <row r="2191">
      <c r="J2191" s="71" t="n"/>
    </row>
    <row r="2192">
      <c r="J2192" s="71" t="n"/>
    </row>
    <row r="2193">
      <c r="J2193" s="71" t="n"/>
    </row>
    <row r="2194">
      <c r="J2194" s="71" t="n"/>
    </row>
    <row r="2195">
      <c r="J2195" s="71" t="n"/>
    </row>
    <row r="2196">
      <c r="J2196" s="71" t="n"/>
    </row>
    <row r="2197">
      <c r="J2197" s="71" t="n"/>
    </row>
    <row r="2198">
      <c r="J2198" s="71" t="n"/>
    </row>
    <row r="2199">
      <c r="J2199" s="71" t="n"/>
    </row>
    <row r="2200">
      <c r="J2200" s="71" t="n"/>
    </row>
    <row r="2201">
      <c r="J2201" s="71" t="n"/>
    </row>
    <row r="2202">
      <c r="J2202" s="71" t="n"/>
    </row>
    <row r="2203">
      <c r="J2203" s="71" t="n"/>
    </row>
    <row r="2204">
      <c r="J2204" s="71" t="n"/>
    </row>
    <row r="2205">
      <c r="J2205" s="71" t="n"/>
    </row>
    <row r="2206">
      <c r="J2206" s="71" t="n"/>
    </row>
    <row r="2207">
      <c r="J2207" s="71" t="n"/>
    </row>
    <row r="2208">
      <c r="J2208" s="71" t="n"/>
    </row>
    <row r="2209">
      <c r="J2209" s="71" t="n"/>
    </row>
    <row r="2210">
      <c r="J2210" s="71" t="n"/>
    </row>
    <row r="2211">
      <c r="J2211" s="71" t="n"/>
    </row>
    <row r="2212">
      <c r="J2212" s="71" t="n"/>
    </row>
    <row r="2213">
      <c r="J2213" s="71" t="n"/>
    </row>
    <row r="2214">
      <c r="J2214" s="71" t="n"/>
    </row>
    <row r="2215">
      <c r="J2215" s="71" t="n"/>
    </row>
    <row r="2216">
      <c r="J2216" s="71" t="n"/>
    </row>
    <row r="2217">
      <c r="J2217" s="71" t="n"/>
    </row>
    <row r="2218">
      <c r="J2218" s="71" t="n"/>
    </row>
    <row r="2219">
      <c r="J2219" s="71" t="n"/>
    </row>
    <row r="2220">
      <c r="J2220" s="71" t="n"/>
    </row>
    <row r="2221">
      <c r="J2221" s="71" t="n"/>
    </row>
    <row r="2222">
      <c r="J2222" s="71" t="n"/>
    </row>
    <row r="2223">
      <c r="J2223" s="71" t="n"/>
    </row>
    <row r="2224">
      <c r="J2224" s="71" t="n"/>
    </row>
    <row r="2225">
      <c r="J2225" s="71" t="n"/>
    </row>
    <row r="2226">
      <c r="J2226" s="71" t="n"/>
    </row>
    <row r="2227">
      <c r="J2227" s="71" t="n"/>
    </row>
    <row r="2228">
      <c r="J2228" s="71" t="n"/>
    </row>
    <row r="2229">
      <c r="J2229" s="71" t="n"/>
    </row>
    <row r="2230">
      <c r="J2230" s="71" t="n"/>
    </row>
    <row r="2231">
      <c r="J2231" s="71" t="n"/>
    </row>
    <row r="2232">
      <c r="J2232" s="71" t="n"/>
    </row>
    <row r="2233">
      <c r="J2233" s="71" t="n"/>
    </row>
    <row r="2234">
      <c r="J2234" s="71" t="n"/>
    </row>
    <row r="2235">
      <c r="J2235" s="71" t="n"/>
    </row>
    <row r="2236">
      <c r="J2236" s="71" t="n"/>
    </row>
    <row r="2237">
      <c r="J2237" s="71" t="n"/>
    </row>
    <row r="2238">
      <c r="J2238" s="71" t="n"/>
    </row>
    <row r="2239">
      <c r="J2239" s="71" t="n"/>
    </row>
    <row r="2240">
      <c r="J2240" s="71" t="n"/>
    </row>
    <row r="2241">
      <c r="J2241" s="71" t="n"/>
    </row>
    <row r="2242">
      <c r="J2242" s="71" t="n"/>
    </row>
    <row r="2243">
      <c r="J2243" s="71" t="n"/>
    </row>
    <row r="2244">
      <c r="J2244" s="71" t="n"/>
    </row>
    <row r="2245">
      <c r="J2245" s="71" t="n"/>
    </row>
    <row r="2246">
      <c r="J2246" s="71" t="n"/>
    </row>
    <row r="2247">
      <c r="J2247" s="71" t="n"/>
    </row>
    <row r="2248">
      <c r="J2248" s="71" t="n"/>
    </row>
    <row r="2249">
      <c r="J2249" s="71" t="n"/>
    </row>
    <row r="2250">
      <c r="J2250" s="71" t="n"/>
    </row>
    <row r="2251">
      <c r="J2251" s="71" t="n"/>
    </row>
    <row r="2252">
      <c r="J2252" s="71" t="n"/>
    </row>
    <row r="2253">
      <c r="J2253" s="71" t="n"/>
    </row>
    <row r="2254">
      <c r="J2254" s="71" t="n"/>
    </row>
    <row r="2255">
      <c r="J2255" s="71" t="n"/>
    </row>
    <row r="2256">
      <c r="J2256" s="71" t="n"/>
    </row>
    <row r="2257">
      <c r="J2257" s="71" t="n"/>
    </row>
    <row r="2258">
      <c r="J2258" s="71" t="n"/>
    </row>
    <row r="2259">
      <c r="J2259" s="71" t="n"/>
    </row>
    <row r="2260">
      <c r="J2260" s="71" t="n"/>
    </row>
    <row r="2261">
      <c r="J2261" s="71" t="n"/>
    </row>
    <row r="2262">
      <c r="J2262" s="71" t="n"/>
    </row>
    <row r="2263">
      <c r="J2263" s="71" t="n"/>
    </row>
    <row r="2264">
      <c r="J2264" s="71" t="n"/>
    </row>
    <row r="2265">
      <c r="J2265" s="71" t="n"/>
    </row>
    <row r="2266">
      <c r="J2266" s="71" t="n"/>
    </row>
    <row r="2267">
      <c r="J2267" s="71" t="n"/>
    </row>
    <row r="2268">
      <c r="J2268" s="71" t="n"/>
    </row>
    <row r="2269">
      <c r="J2269" s="71" t="n"/>
    </row>
    <row r="2270">
      <c r="J2270" s="71" t="n"/>
    </row>
    <row r="2271">
      <c r="J2271" s="71" t="n"/>
    </row>
    <row r="2272">
      <c r="J2272" s="71" t="n"/>
    </row>
    <row r="2273">
      <c r="J2273" s="71" t="n"/>
    </row>
    <row r="2274">
      <c r="J2274" s="71" t="n"/>
    </row>
    <row r="2275">
      <c r="J2275" s="71" t="n"/>
    </row>
    <row r="2276">
      <c r="J2276" s="71" t="n"/>
    </row>
    <row r="2277">
      <c r="J2277" s="71" t="n"/>
    </row>
    <row r="2278">
      <c r="J2278" s="71" t="n"/>
    </row>
    <row r="2279">
      <c r="J2279" s="71" t="n"/>
    </row>
    <row r="2280">
      <c r="J2280" s="71" t="n"/>
    </row>
    <row r="2281">
      <c r="J2281" s="71" t="n"/>
    </row>
    <row r="2282">
      <c r="J2282" s="71" t="n"/>
    </row>
    <row r="2283">
      <c r="J2283" s="71" t="n"/>
    </row>
    <row r="2284">
      <c r="J2284" s="71" t="n"/>
    </row>
    <row r="2285">
      <c r="J2285" s="71" t="n"/>
    </row>
    <row r="2286">
      <c r="J2286" s="71" t="n"/>
    </row>
    <row r="2287">
      <c r="J2287" s="71" t="n"/>
    </row>
    <row r="2288">
      <c r="J2288" s="71" t="n"/>
    </row>
    <row r="2289">
      <c r="J2289" s="71" t="n"/>
    </row>
    <row r="2290">
      <c r="J2290" s="71" t="n"/>
    </row>
    <row r="2291">
      <c r="J2291" s="71" t="n"/>
    </row>
    <row r="2292">
      <c r="J2292" s="71" t="n"/>
    </row>
    <row r="2293">
      <c r="J2293" s="71" t="n"/>
    </row>
    <row r="2294">
      <c r="J2294" s="71" t="n"/>
    </row>
    <row r="2295">
      <c r="J2295" s="71" t="n"/>
    </row>
    <row r="2296">
      <c r="J2296" s="71" t="n"/>
    </row>
    <row r="2297">
      <c r="J2297" s="71" t="n"/>
    </row>
    <row r="2298">
      <c r="J2298" s="71" t="n"/>
    </row>
    <row r="2299">
      <c r="J2299" s="71" t="n"/>
    </row>
    <row r="2300">
      <c r="J2300" s="71" t="n"/>
    </row>
    <row r="2301">
      <c r="J2301" s="71" t="n"/>
    </row>
    <row r="2302">
      <c r="J2302" s="71" t="n"/>
    </row>
    <row r="2303">
      <c r="J2303" s="71" t="n"/>
    </row>
    <row r="2304">
      <c r="J2304" s="71" t="n"/>
    </row>
    <row r="2305">
      <c r="J2305" s="71" t="n"/>
    </row>
    <row r="2306">
      <c r="J2306" s="71" t="n"/>
    </row>
    <row r="2307">
      <c r="J2307" s="71" t="n"/>
    </row>
    <row r="2308">
      <c r="J2308" s="71" t="n"/>
    </row>
    <row r="2309">
      <c r="J2309" s="71" t="n"/>
    </row>
    <row r="2310">
      <c r="J2310" s="71" t="n"/>
    </row>
    <row r="2311">
      <c r="J2311" s="71" t="n"/>
    </row>
    <row r="2312">
      <c r="J2312" s="71" t="n"/>
    </row>
    <row r="2313">
      <c r="J2313" s="71" t="n"/>
    </row>
    <row r="2314">
      <c r="J2314" s="71" t="n"/>
    </row>
    <row r="2315">
      <c r="J2315" s="71" t="n"/>
    </row>
    <row r="2316">
      <c r="J2316" s="71" t="n"/>
    </row>
    <row r="2317">
      <c r="J2317" s="71" t="n"/>
    </row>
    <row r="2318">
      <c r="J2318" s="71" t="n"/>
    </row>
    <row r="2319">
      <c r="J2319" s="71" t="n"/>
    </row>
    <row r="2320">
      <c r="J2320" s="71" t="n"/>
    </row>
    <row r="2321">
      <c r="J2321" s="71" t="n"/>
    </row>
    <row r="2322">
      <c r="J2322" s="71" t="n"/>
    </row>
    <row r="2323">
      <c r="J2323" s="71" t="n"/>
    </row>
    <row r="2324">
      <c r="J2324" s="71" t="n"/>
    </row>
    <row r="2325">
      <c r="J2325" s="71" t="n"/>
    </row>
    <row r="2326">
      <c r="J2326" s="71" t="n"/>
    </row>
    <row r="2327">
      <c r="J2327" s="71" t="n"/>
    </row>
    <row r="2328">
      <c r="J2328" s="71" t="n"/>
    </row>
    <row r="2329">
      <c r="J2329" s="71" t="n"/>
    </row>
    <row r="2330">
      <c r="J2330" s="71" t="n"/>
    </row>
    <row r="2331">
      <c r="J2331" s="71" t="n"/>
    </row>
    <row r="2332">
      <c r="J2332" s="71" t="n"/>
    </row>
    <row r="2333">
      <c r="J2333" s="71" t="n"/>
    </row>
    <row r="2334">
      <c r="J2334" s="71" t="n"/>
    </row>
    <row r="2335">
      <c r="J2335" s="71" t="n"/>
    </row>
    <row r="2336">
      <c r="J2336" s="71" t="n"/>
    </row>
    <row r="2337">
      <c r="J2337" s="71" t="n"/>
    </row>
    <row r="2338">
      <c r="J2338" s="71" t="n"/>
    </row>
    <row r="2339">
      <c r="J2339" s="71" t="n"/>
    </row>
    <row r="2340">
      <c r="J2340" s="71" t="n"/>
    </row>
    <row r="2341">
      <c r="J2341" s="71" t="n"/>
    </row>
    <row r="2342">
      <c r="J2342" s="71" t="n"/>
    </row>
    <row r="2343">
      <c r="J2343" s="71" t="n"/>
    </row>
    <row r="2344">
      <c r="J2344" s="71" t="n"/>
    </row>
    <row r="2345">
      <c r="J2345" s="71" t="n"/>
    </row>
    <row r="2346">
      <c r="J2346" s="71" t="n"/>
    </row>
    <row r="2347">
      <c r="J2347" s="71" t="n"/>
    </row>
    <row r="2348">
      <c r="J2348" s="71" t="n"/>
    </row>
    <row r="2349">
      <c r="J2349" s="71" t="n"/>
    </row>
    <row r="2350">
      <c r="J2350" s="71" t="n"/>
    </row>
    <row r="2351">
      <c r="J2351" s="71" t="n"/>
    </row>
    <row r="2352">
      <c r="J2352" s="71" t="n"/>
    </row>
    <row r="2353">
      <c r="J2353" s="71" t="n"/>
    </row>
    <row r="2354">
      <c r="J2354" s="71" t="n"/>
    </row>
    <row r="2355">
      <c r="J2355" s="71" t="n"/>
    </row>
    <row r="2356">
      <c r="J2356" s="71" t="n"/>
    </row>
    <row r="2357">
      <c r="J2357" s="71" t="n"/>
    </row>
    <row r="2358">
      <c r="J2358" s="71" t="n"/>
    </row>
    <row r="2359">
      <c r="J2359" s="71" t="n"/>
    </row>
    <row r="2360">
      <c r="J2360" s="71" t="n"/>
    </row>
    <row r="2361">
      <c r="J2361" s="71" t="n"/>
    </row>
    <row r="2362">
      <c r="J2362" s="71" t="n"/>
    </row>
    <row r="2363">
      <c r="J2363" s="71" t="n"/>
    </row>
    <row r="2364">
      <c r="J2364" s="71" t="n"/>
    </row>
    <row r="2365">
      <c r="J2365" s="71" t="n"/>
    </row>
    <row r="2366">
      <c r="J2366" s="71" t="n"/>
    </row>
    <row r="2367">
      <c r="J2367" s="71" t="n"/>
    </row>
    <row r="2368">
      <c r="J2368" s="71" t="n"/>
    </row>
    <row r="2369">
      <c r="J2369" s="71" t="n"/>
    </row>
    <row r="2370">
      <c r="J2370" s="71" t="n"/>
    </row>
    <row r="2371">
      <c r="J2371" s="71" t="n"/>
    </row>
    <row r="2372">
      <c r="J2372" s="71" t="n"/>
    </row>
    <row r="2373">
      <c r="J2373" s="71" t="n"/>
    </row>
    <row r="2374">
      <c r="J2374" s="71" t="n"/>
    </row>
    <row r="2375">
      <c r="J2375" s="71" t="n"/>
    </row>
    <row r="2376">
      <c r="J2376" s="71" t="n"/>
    </row>
    <row r="2377">
      <c r="J2377" s="71" t="n"/>
    </row>
    <row r="2378">
      <c r="J2378" s="71" t="n"/>
    </row>
    <row r="2379">
      <c r="J2379" s="71" t="n"/>
    </row>
    <row r="2380">
      <c r="J2380" s="71" t="n"/>
    </row>
    <row r="2381">
      <c r="J2381" s="71" t="n"/>
    </row>
    <row r="2382">
      <c r="J2382" s="71" t="n"/>
    </row>
    <row r="2383">
      <c r="J2383" s="71" t="n"/>
    </row>
    <row r="2384">
      <c r="J2384" s="71" t="n"/>
    </row>
    <row r="2385">
      <c r="J2385" s="71" t="n"/>
    </row>
    <row r="2386">
      <c r="J2386" s="71" t="n"/>
    </row>
    <row r="2387">
      <c r="J2387" s="71" t="n"/>
    </row>
    <row r="2388">
      <c r="J2388" s="71" t="n"/>
    </row>
    <row r="2389">
      <c r="J2389" s="71" t="n"/>
    </row>
    <row r="2390">
      <c r="J2390" s="71" t="n"/>
    </row>
    <row r="2391">
      <c r="J2391" s="71" t="n"/>
    </row>
    <row r="2392">
      <c r="J2392" s="71" t="n"/>
    </row>
    <row r="2393">
      <c r="J2393" s="71" t="n"/>
    </row>
    <row r="2394">
      <c r="J2394" s="71" t="n"/>
    </row>
    <row r="2395">
      <c r="J2395" s="71" t="n"/>
    </row>
    <row r="2396">
      <c r="J2396" s="71" t="n"/>
    </row>
    <row r="2397">
      <c r="J2397" s="71" t="n"/>
    </row>
    <row r="2398">
      <c r="J2398" s="71" t="n"/>
    </row>
    <row r="2399">
      <c r="J2399" s="71" t="n"/>
    </row>
    <row r="2400">
      <c r="J2400" s="71" t="n"/>
    </row>
    <row r="2401">
      <c r="J2401" s="71" t="n"/>
    </row>
    <row r="2402">
      <c r="J2402" s="71" t="n"/>
    </row>
    <row r="2403">
      <c r="J2403" s="71" t="n"/>
    </row>
    <row r="2404">
      <c r="J2404" s="71" t="n"/>
    </row>
    <row r="2405">
      <c r="J2405" s="71" t="n"/>
    </row>
    <row r="2406">
      <c r="J2406" s="71" t="n"/>
    </row>
    <row r="2407">
      <c r="J2407" s="71" t="n"/>
    </row>
    <row r="2408">
      <c r="J2408" s="71" t="n"/>
    </row>
    <row r="2409">
      <c r="J2409" s="71" t="n"/>
    </row>
    <row r="2410">
      <c r="J2410" s="71" t="n"/>
    </row>
    <row r="2411">
      <c r="J2411" s="71" t="n"/>
    </row>
    <row r="2412">
      <c r="J2412" s="71" t="n"/>
    </row>
    <row r="2413">
      <c r="J2413" s="71" t="n"/>
    </row>
    <row r="2414">
      <c r="J2414" s="71" t="n"/>
    </row>
    <row r="2415">
      <c r="J2415" s="71" t="n"/>
    </row>
    <row r="2416">
      <c r="J2416" s="71" t="n"/>
    </row>
    <row r="2417">
      <c r="J2417" s="71" t="n"/>
    </row>
    <row r="2418">
      <c r="J2418" s="71" t="n"/>
    </row>
    <row r="2419">
      <c r="J2419" s="71" t="n"/>
    </row>
    <row r="2420">
      <c r="J2420" s="71" t="n"/>
    </row>
    <row r="2421">
      <c r="J2421" s="71" t="n"/>
    </row>
    <row r="2422">
      <c r="J2422" s="71" t="n"/>
    </row>
    <row r="2423">
      <c r="J2423" s="71" t="n"/>
    </row>
    <row r="2424">
      <c r="J2424" s="71" t="n"/>
    </row>
    <row r="2425">
      <c r="J2425" s="71" t="n"/>
    </row>
    <row r="2426">
      <c r="J2426" s="71" t="n"/>
    </row>
    <row r="2427">
      <c r="J2427" s="71" t="n"/>
    </row>
    <row r="2428">
      <c r="J2428" s="71" t="n"/>
    </row>
    <row r="2429">
      <c r="J2429" s="71" t="n"/>
    </row>
    <row r="2430">
      <c r="J2430" s="71" t="n"/>
    </row>
    <row r="2431">
      <c r="J2431" s="71" t="n"/>
    </row>
    <row r="2432">
      <c r="J2432" s="71" t="n"/>
    </row>
    <row r="2433">
      <c r="J2433" s="71" t="n"/>
    </row>
    <row r="2434">
      <c r="J2434" s="71" t="n"/>
    </row>
    <row r="2435">
      <c r="J2435" s="71" t="n"/>
    </row>
    <row r="2436">
      <c r="J2436" s="71" t="n"/>
    </row>
    <row r="2437">
      <c r="J2437" s="71" t="n"/>
    </row>
    <row r="2438">
      <c r="J2438" s="71" t="n"/>
    </row>
    <row r="2439">
      <c r="J2439" s="71" t="n"/>
    </row>
    <row r="2440">
      <c r="J2440" s="71" t="n"/>
    </row>
    <row r="2441">
      <c r="J2441" s="71" t="n"/>
    </row>
    <row r="2442">
      <c r="J2442" s="71" t="n"/>
    </row>
    <row r="2443">
      <c r="J2443" s="71" t="n"/>
    </row>
    <row r="2444">
      <c r="J2444" s="71" t="n"/>
    </row>
    <row r="2445">
      <c r="J2445" s="71" t="n"/>
    </row>
    <row r="2446">
      <c r="J2446" s="71" t="n"/>
    </row>
    <row r="2447">
      <c r="J2447" s="71" t="n"/>
    </row>
    <row r="2448">
      <c r="J2448" s="71" t="n"/>
    </row>
    <row r="2449">
      <c r="J2449" s="71" t="n"/>
    </row>
    <row r="2450">
      <c r="J2450" s="71" t="n"/>
    </row>
    <row r="2451">
      <c r="J2451" s="71" t="n"/>
    </row>
    <row r="2452">
      <c r="J2452" s="71" t="n"/>
    </row>
    <row r="2453">
      <c r="J2453" s="71" t="n"/>
    </row>
    <row r="2454">
      <c r="J2454" s="71" t="n"/>
    </row>
    <row r="2455">
      <c r="J2455" s="71" t="n"/>
    </row>
    <row r="2456">
      <c r="J2456" s="71" t="n"/>
    </row>
    <row r="2457">
      <c r="J2457" s="71" t="n"/>
    </row>
    <row r="2458">
      <c r="J2458" s="71" t="n"/>
    </row>
    <row r="2459">
      <c r="J2459" s="71" t="n"/>
    </row>
    <row r="2460">
      <c r="J2460" s="71" t="n"/>
    </row>
    <row r="2461">
      <c r="J2461" s="71" t="n"/>
    </row>
    <row r="2462">
      <c r="J2462" s="71" t="n"/>
    </row>
    <row r="2463">
      <c r="J2463" s="71" t="n"/>
    </row>
    <row r="2464">
      <c r="J2464" s="71" t="n"/>
    </row>
    <row r="2465">
      <c r="J2465" s="71" t="n"/>
    </row>
    <row r="2466">
      <c r="J2466" s="71" t="n"/>
    </row>
    <row r="2467">
      <c r="J2467" s="71" t="n"/>
    </row>
    <row r="2468">
      <c r="J2468" s="71" t="n"/>
    </row>
    <row r="2469">
      <c r="J2469" s="71" t="n"/>
    </row>
    <row r="2470">
      <c r="J2470" s="71" t="n"/>
    </row>
    <row r="2471">
      <c r="J2471" s="71" t="n"/>
    </row>
    <row r="2472">
      <c r="J2472" s="71" t="n"/>
    </row>
    <row r="2473">
      <c r="J2473" s="71" t="n"/>
    </row>
    <row r="2474">
      <c r="J2474" s="71" t="n"/>
    </row>
    <row r="2475">
      <c r="J2475" s="71" t="n"/>
    </row>
    <row r="2476">
      <c r="J2476" s="71" t="n"/>
    </row>
    <row r="2477">
      <c r="J2477" s="71" t="n"/>
    </row>
    <row r="2478">
      <c r="J2478" s="71" t="n"/>
    </row>
    <row r="2479">
      <c r="J2479" s="71" t="n"/>
    </row>
    <row r="2480">
      <c r="J2480" s="71" t="n"/>
    </row>
    <row r="2481">
      <c r="J2481" s="71" t="n"/>
    </row>
    <row r="2482">
      <c r="J2482" s="71" t="n"/>
    </row>
    <row r="2483">
      <c r="J2483" s="71" t="n"/>
    </row>
  </sheetData>
  <sheetProtection selectLockedCells="1" selectUnlockedCells="0" sheet="1" objects="1" insertRows="1" insertHyperlinks="1" autoFilter="1" scenarios="1" formatColumns="1" deleteColumns="1" insertColumns="1" pivotTables="1" deleteRows="1" formatCells="1" formatRows="1" sort="1"/>
  <autoFilter ref="A1:M1045"/>
  <dataValidations count="2">
    <dataValidation sqref="F1:F35 F47:F106 F110:F1048576" showDropDown="0" showInputMessage="1" showErrorMessage="1" allowBlank="1" type="list">
      <formula1>Type</formula1>
    </dataValidation>
    <dataValidation sqref="I1:I1048576" showDropDown="0" showInputMessage="1" showErrorMessage="1" allowBlank="1" type="list">
      <formula1>Rubriques_Produit</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codeName="Feuil3">
    <tabColor rgb="FF92D050"/>
    <outlinePr summaryBelow="1" summaryRight="1"/>
    <pageSetUpPr/>
  </sheetPr>
  <dimension ref="A1:B96"/>
  <sheetViews>
    <sheetView topLeftCell="A26" workbookViewId="0">
      <selection activeCell="A99" sqref="A99"/>
    </sheetView>
  </sheetViews>
  <sheetFormatPr baseColWidth="10" defaultRowHeight="14.4"/>
  <cols>
    <col width="171.33203125" customWidth="1" min="1" max="1"/>
  </cols>
  <sheetData>
    <row r="1" ht="116.25" customHeight="1">
      <c r="A1" s="22" t="inlineStr">
        <is>
          <t>Section 6. [446] Comptes de charges (Classe 6)</t>
        </is>
      </c>
      <c r="B1" s="22" t="n"/>
    </row>
    <row r="2" ht="26.4" customHeight="1">
      <c r="A2" s="17" t="inlineStr">
        <is>
          <t xml:space="preserve">Les charges d'exploitation normale et courante sont enregistrées sous les comptes 60 " Achats ", 61/62 " Autres charges externes ", 63 " Impôts, taxes et versements assimilés ", 64 " Charges de personnel " et 65 " Autres charges de gestion courante ". </t>
        </is>
      </c>
    </row>
    <row r="3">
      <c r="A3" s="17" t="inlineStr">
        <is>
          <t xml:space="preserve">Les charges rattachées à la gestion financière figurent sous le compte 66 " Charges financières ". </t>
        </is>
      </c>
    </row>
    <row r="4">
      <c r="A4" s="17" t="inlineStr">
        <is>
          <t xml:space="preserve">Les charges relatives à des opérations exceptionnelles sont inscrites sous le compte 67 " Charges exceptionnelles ". </t>
        </is>
      </c>
    </row>
    <row r="5">
      <c r="A5" s="17" t="inlineStr">
        <is>
          <t xml:space="preserve">Le compte 68 " Dotations aux amortissements et aux provisions " comporte des subdivisions distinguant les charges calculées d'exploitation, financières ou exceptionnelles. </t>
        </is>
      </c>
    </row>
    <row r="6">
      <c r="A6" s="17" t="inlineStr">
        <is>
          <t xml:space="preserve">Le compte 69 " Participation des salariés - Impôts sur les bénéfices et assimilés " enregistre les charges de la participation des salariés aux résultats et les impôts sur les bénéfices. </t>
        </is>
      </c>
    </row>
    <row r="7">
      <c r="A7" s="19" t="inlineStr">
        <is>
          <t>Les charges de la classe 6 sont enregistrées hors taxes récupérables.</t>
        </is>
      </c>
    </row>
    <row r="8" ht="39.6" customHeight="1">
      <c r="A8" s="17" t="inlineStr">
        <is>
          <t xml:space="preserve">Les comptes 60 à 69 n'enregistrent pas les montants affectés à des investissements ou à des placements qui sont à inscrire directement dans les comptes 20 " Immobilisations incorporelles ", 21 " Immobilisations corporelles ",23 " Immobilisations en cours ", 26 " Participations et créances rattachées à des participations ", 27 " Autres immobilisations financières " et 50 " Valeurs mobilières deplacement ". </t>
        </is>
      </c>
    </row>
    <row r="9" ht="39.6" customHeight="1">
      <c r="A9" s="17" t="inlineStr">
        <is>
          <t xml:space="preserve">A titre dérogatoire, si les entités ne sont pas en mesure de faire de telles distinctions au moment même où elles passent leurs écritures, soit qu'elles ne connaissent pas, alors, le caractère des sommes à enregistrer, soit qu'elles ignorent encore l'affectation qui sera donnée à ces sommes, l'affectation des dépenses à réimputer sera effectuée, en fin d'exercice, en les inscrivant, selon leur affectation et leur nature : </t>
        </is>
      </c>
    </row>
    <row r="10">
      <c r="A10" s="20" t="inlineStr">
        <is>
          <t xml:space="preserve">ou au débit d'un compte de bilan par le crédit du compte 72 " Production immobilisée " ou par le crédit des subdivisions du compte 79 " Transferts de charges " ; </t>
        </is>
      </c>
    </row>
    <row r="11">
      <c r="A11" s="21" t="inlineStr">
        <is>
          <t xml:space="preserve">ou au débit d'un autre compte de charges par le crédit des subdivisions intéressées du compte79 " Transferts de charges ". </t>
        </is>
      </c>
    </row>
    <row r="12" ht="26.4" customHeight="1">
      <c r="A12" s="17" t="inlineStr">
        <is>
          <t xml:space="preserve">Les différentes charges sont enregistrées aux comptes de la classe 6 même lorsqu'elles sont déjà couvertes par des provisions. Les provisions antérieurement constituées sont annulées par le crédit du compte 78 " Reprises sur amortissements et provisions ". </t>
        </is>
      </c>
    </row>
    <row r="13">
      <c r="A13" s="18" t="inlineStr">
        <is>
          <t>Achats (comptes 60 sauf 603)</t>
        </is>
      </c>
    </row>
    <row r="14" ht="28.8" customHeight="1">
      <c r="A14" s="19" t="inlineStr">
        <is>
          <t>Comme les stocks, les achats sont classés en fonction d’une nomenclature propre à l’entité dont les modalités d’établissement et la compatibilité avec la nomenclature officielle des biens et services sont identiques à celles déjà énoncées à l’occasion du fonctionnement des comptes de la classe 3 (stocks et en-cours).</t>
        </is>
      </c>
    </row>
    <row r="15" ht="26.4" customHeight="1">
      <c r="A15" s="17" t="inlineStr">
        <is>
          <t xml:space="preserve">Les biens dont la destination est indéterminée à l'entrée dans le patrimoine de l'entité sont enregistrés comme s'il s'agissait de biens destinés à être vendus. Leur affectation éventuelle en immobilisation s'effectuera ultérieurement. Elle sera irréversible. </t>
        </is>
      </c>
    </row>
    <row r="16" ht="39.6" customHeight="1">
      <c r="A16" s="17" t="inlineStr">
        <is>
          <t>Les achats sont inscrits au débit des comptes 601 " Achats stockés - Matières premières (et fournitures) ",602 " Achats stockés - Autres approvisionnements ", 604 " Achats d'études et prestations de services ",605 " Achats de matériel, équipements et travaux ", 606 " Achats non stockés de matières et fournitures " et607 " Achats de marchandises " au prix d'achat, droits de douane inclus.</t>
        </is>
      </c>
    </row>
    <row r="17">
      <c r="A17" s="17" t="inlineStr">
        <is>
          <t xml:space="preserve">Des subdivisions des comptes d'achat peuvent être ouvertes pour identifier : </t>
        </is>
      </c>
    </row>
    <row r="18">
      <c r="A18" s="20" t="inlineStr">
        <is>
          <t xml:space="preserve">les achats en France et à l'étranger ; </t>
        </is>
      </c>
    </row>
    <row r="19">
      <c r="A19" s="20" t="inlineStr">
        <is>
          <t xml:space="preserve">les achats faits par l'entité auprès d'entités liées ou avec lesquelles elle a un lien de participation. </t>
        </is>
      </c>
    </row>
    <row r="20">
      <c r="A20" s="19" t="inlineStr">
        <is>
          <t xml:space="preserve">Les escomptes de règlement sont comptabilisés au crédit du compte 765 " Escomptes obtenus ". </t>
        </is>
      </c>
    </row>
    <row r="21" ht="26.4" customHeight="1">
      <c r="A21" s="17" t="inlineStr">
        <is>
          <t xml:space="preserve">Les entités ont la faculté de comptabiliser directement les frais accessoires d'achat payés à des tiers, par exemple les transports, les commissions et les assurances à l'un des comptes d'achats 601 à 607 et non aux comptes de charges par nature, lorsque ces charges peuvent être affectées de façon certaine à telle ou telle catégorie de marchandises ou d'approvisionnements. </t>
        </is>
      </c>
    </row>
    <row r="22" ht="26.4" customHeight="1">
      <c r="A22" s="17" t="inlineStr">
        <is>
          <t xml:space="preserve">Pour permettre aux entités de fournir plus facilement le détail des frais accessoires incorporés aux achats de l'exercice, le compte 608 peut être utilisé pour regrouper ces frais par catégorie tout en maintenant dans des subdivisions de ce compte leur classement par nature. </t>
        </is>
      </c>
    </row>
    <row r="23" ht="28.8" customHeight="1">
      <c r="A23" s="19" t="inlineStr">
        <is>
          <t>Lorsque l'entité a reçu les marchandises ou les approvisionnements sans la facture correspondante, il convient de débiter les comptes d'achats susvisés par le crédit du compte 408 " Fournisseurs - Factures non parvenues ".</t>
        </is>
      </c>
    </row>
    <row r="24">
      <c r="A24" s="17" t="inlineStr">
        <is>
          <t xml:space="preserve">Les biens et services sous-traités qui s'intègrent directement dans le cycle de production de l'entité sont inscrits dans ses achats au débit des comptes : </t>
        </is>
      </c>
    </row>
    <row r="25">
      <c r="A25" s="23" t="inlineStr">
        <is>
          <t xml:space="preserve">604 " Achats d'études et de prestations de services " ; </t>
        </is>
      </c>
    </row>
    <row r="26">
      <c r="A26" s="23" t="inlineStr">
        <is>
          <t xml:space="preserve">605 " Achats de matériels, équipements et travaux ". </t>
        </is>
      </c>
    </row>
    <row r="27" ht="28.8" customHeight="1">
      <c r="A27" s="19" t="inlineStr">
        <is>
          <t xml:space="preserve">Le compte 606 regroupe tous les achats non stockables, par exemple l'eau et l'énergie, ou non stockés par l'entité tels que ceux afférents à des fournitures qui ne passent pas par un compte de magasin, et dont les existants neufs, en fin d'exercice, sont inscrits au débit du compte 486 " Charges constatées d'avance ". </t>
        </is>
      </c>
    </row>
    <row r="28" ht="26.4" customHeight="1">
      <c r="A28" s="17" t="inlineStr">
        <is>
          <t>Le compte 609 " Rabais, remises et ristournes obtenus sur achats " enregistre à son crédit les rabais, remises et ristournes sur achats obtenus des fournisseurs et dont le montant, non déduit des factures d'achats, n'est connu que postérieurement à la comptabilisation de ces factures.</t>
        </is>
      </c>
    </row>
    <row r="29">
      <c r="A29" s="18" t="inlineStr">
        <is>
          <t>Variation des stocks (comptes 603)</t>
        </is>
      </c>
    </row>
    <row r="30">
      <c r="A30" s="17" t="inlineStr">
        <is>
          <t>Le compte 603 " Variation des stocks " est réservé à l'enregistrement des variations de stocks d'approvisionnements et de marchandises.</t>
        </is>
      </c>
    </row>
    <row r="31" ht="39.6" customHeight="1">
      <c r="A31" s="17" t="inlineStr">
        <is>
          <t xml:space="preserve">Les soldes des subdivisions 6031 " Variation des stocks de matières premières (et fournitures) ",6032 " Variation des stocks des autres approvisionnements " et 6037 " Variation des stocks de marchandises " du compte 603 représentent la différence existant entre la valeur des stocks d'approvisionnements et de marchandises à la clôture de l'exercice et la valeur desdits stocks à la clôture de l'exercice précédent, c'est-à-dire la différence de valeur entre le stock final, dit stock de sortie, et le stock initial, dit stock d'entrée, compte non tenu des provisions pour dépréciation. </t>
        </is>
      </c>
    </row>
    <row r="32" ht="26.4" customHeight="1">
      <c r="A32" s="17" t="inlineStr">
        <is>
          <t xml:space="preserve">Ces comptes de variation des stocks sont débités, pour les éléments qui les concernent, de la valeur du stock initial et crédités de la valeur du stock final. En conséquence, le solde du compte 603 représente la variation globale de la valeur du stock entre le début et la fin de l'exercice. </t>
        </is>
      </c>
    </row>
    <row r="33" ht="26.4" customHeight="1">
      <c r="A33" s="17" t="inlineStr">
        <is>
          <t>Les soldes des comptes 6037 d'une part, 6031 et 6032 d'autre part, peuvent être créditeurs ou débiteurs. Ils figurent dans le modèle de compte de résultat comme comptes correcteurs en moins ou en plus des achats de marchandises d'une part, des approvisionnements d'autre part.</t>
        </is>
      </c>
    </row>
    <row r="34">
      <c r="A34" s="18" t="inlineStr">
        <is>
          <t>Autres charges externes (comptes 61/62)</t>
        </is>
      </c>
    </row>
    <row r="35" ht="28.8" customHeight="1">
      <c r="A35" s="19" t="inlineStr">
        <is>
          <t xml:space="preserve">Sont comptabilisées dans les comptes 61/62 les charges externes, autres que les achats, en provenance des tiers. Néanmoins, les redevances dues pour concessions, brevets, licences, marques, procédés, logiciels, droits et valeurs similaires sont inscrites au débit du compte 65 " Autres charges de gestion courante ". </t>
        </is>
      </c>
    </row>
    <row r="36">
      <c r="A36" s="17" t="inlineStr">
        <is>
          <t>61. SERVICES EXTERIEURS.</t>
        </is>
      </c>
    </row>
    <row r="37">
      <c r="A37" s="17" t="inlineStr">
        <is>
          <t>62. AUTRES SERVICES EXTERIEURS.</t>
        </is>
      </c>
    </row>
    <row r="38" ht="26.4" customHeight="1">
      <c r="A38" s="17" t="inlineStr">
        <is>
          <t xml:space="preserve">Sont enregistrés au débit du compte 611 " Sous-traitance générale " les factures de sous-traitance autres que celles inscrites au débit des comptes 604 " Achats d'études et prestations " et 605 " Achats de matériel, équipements et travaux ". </t>
        </is>
      </c>
    </row>
    <row r="39">
      <c r="A39" s="17" t="inlineStr">
        <is>
          <t xml:space="preserve">Sont enregistrés au compte 612 " Redevances de crédit-bail " les factures de redevances ou de loyers concernant l'utilisation de biens en crédit-bail. </t>
        </is>
      </c>
    </row>
    <row r="40">
      <c r="A40" s="17" t="inlineStr">
        <is>
          <t xml:space="preserve">Les rémunérations d'affacturage inscrites au compte 622 " Rémunérations d'intermédiaires et honoraires ", à la subdivision 6225 " Rémunérations d'affacturage ", comprennent : </t>
        </is>
      </c>
    </row>
    <row r="41">
      <c r="A41" s="20" t="inlineStr">
        <is>
          <t>la commission d'affacturage, qui constitue le paiement des services de gestion comptable, de recouvrement et de garantie de bonne fin ;</t>
        </is>
      </c>
    </row>
    <row r="42">
      <c r="A42" s="21" t="inlineStr">
        <is>
          <t xml:space="preserve">la commission de financement, qui représente le coût du financement anticipé, si exceptionnellement elle n'a pas été enregistrée au compte 66 " Charges financières ". </t>
        </is>
      </c>
    </row>
    <row r="43" ht="28.8" customHeight="1">
      <c r="A43" s="19" t="inlineStr">
        <is>
          <t>Les comptes 619 " Rabais, remises et ristournes obtenus sur services extérieurs " et  629 " Rabais, remises et ristournes obtenus sur autres services extérieurs " enregistrent les rabais, remises et ristournes sur services extérieurs dans les conditions déjà définies pour le compte 609 " Rabais, remises et ristournes obtenus sur achats ".</t>
        </is>
      </c>
    </row>
    <row r="44">
      <c r="A44" s="18" t="inlineStr">
        <is>
          <t>Impôts, taxes et versements assimilés (comptes 63)</t>
        </is>
      </c>
    </row>
    <row r="45">
      <c r="A45" s="17" t="inlineStr">
        <is>
          <t>Les impôts, taxes et versements assimilés sont des charges correspondant :</t>
        </is>
      </c>
    </row>
    <row r="46">
      <c r="A46" s="20" t="inlineStr">
        <is>
          <t xml:space="preserve">d'une part, à des versements obligatoires à l'Etat et aux collectivités locales pour subvenir aux dépenses publiques ; </t>
        </is>
      </c>
    </row>
    <row r="47">
      <c r="A47" s="20" t="inlineStr">
        <is>
          <t>d'autre part, à des versements institués par l'autorité publique, notamment pour le financement d'actions d'intérêt économique ou social.</t>
        </is>
      </c>
    </row>
    <row r="48">
      <c r="A48" s="19" t="inlineStr">
        <is>
          <t xml:space="preserve">Les impôts sur les bénéfices ne sont pas comptabilisés sous ce compte. Ils sont inscrits au compte 695 " Impôts sur les bénéfices ". </t>
        </is>
      </c>
    </row>
    <row r="49" ht="26.4" customHeight="1">
      <c r="A49" s="17" t="inlineStr">
        <is>
          <t xml:space="preserve">Les versements au Trésor public à effectuer au titre des taxes et participations assises sur les salaires sont enregistrés au débit du compte 631 " Impôts, taxes et versements assimilés sur rémunérations (administration des impôts) " aux diverses subdivisions concernées, intitulées : </t>
        </is>
      </c>
    </row>
    <row r="50">
      <c r="A50" s="20" t="inlineStr">
        <is>
          <t xml:space="preserve">Taxe sur les salaires ; </t>
        </is>
      </c>
    </row>
    <row r="51">
      <c r="A51" s="20" t="inlineStr">
        <is>
          <t xml:space="preserve">Taxe d'apprentissage ; </t>
        </is>
      </c>
    </row>
    <row r="52">
      <c r="A52" s="20" t="inlineStr">
        <is>
          <t>Participation des employeurs à la formation professionnelle continue ;</t>
        </is>
      </c>
    </row>
    <row r="53">
      <c r="A53" s="20" t="inlineStr">
        <is>
          <t>Cotisation pour défaut d'investissement obligatoire dans la construction.</t>
        </is>
      </c>
    </row>
    <row r="54">
      <c r="A54" s="19" t="inlineStr">
        <is>
          <t xml:space="preserve">La contrepartie figure au crédit du compte 447 " Autres impôts, taxes et versements assimilés ". </t>
        </is>
      </c>
    </row>
    <row r="55" ht="28.8" customHeight="1">
      <c r="A55" s="19" t="inlineStr">
        <is>
          <t>Lorsque le montant des dépenses libératoires, acquittées ou dues à l'inventaire, est inférieur au montant de la taxe ou de la participation obligatoire, l'entité inscrit le montant du versement restant à effectuer au Trésor public au crédit du compte 447 ou de la subdivision du compte 448 intitulée " Etat - Charges à payer " par le débit du compte631.</t>
        </is>
      </c>
    </row>
    <row r="56" ht="26.4" customHeight="1">
      <c r="A56" s="17" t="inlineStr">
        <is>
          <t>Les versements à fonds perdus ou subventions au titre des taxes et participations assises sur les salaires sont enregistrés au débit du compte 633 " Impôts, taxes et versements assimilés sur rémunérations (autres organismes) " aux diverses subdivisions concernées, intitulées:</t>
        </is>
      </c>
    </row>
    <row r="57">
      <c r="A57" s="20" t="inlineStr">
        <is>
          <t xml:space="preserve">Participation des employeurs à l'effort de construction lorsqu'il s'agit de versements à fonds perdus, </t>
        </is>
      </c>
    </row>
    <row r="58">
      <c r="A58" s="20" t="inlineStr">
        <is>
          <t xml:space="preserve">Participation des employeurs à la formation professionnelle continue lorsque les dépenses sont libératoires, </t>
        </is>
      </c>
    </row>
    <row r="59">
      <c r="A59" s="20" t="inlineStr">
        <is>
          <t xml:space="preserve">Versements libératoires ouvrant droit à l'exonération de la taxe d'apprentissage. </t>
        </is>
      </c>
    </row>
    <row r="60">
      <c r="A60" s="19" t="inlineStr">
        <is>
          <t xml:space="preserve">Les autres dépenses ayant le caractère de charges figurent dans les comptes de charges concernés de la classe6. </t>
        </is>
      </c>
    </row>
    <row r="61" ht="26.4" customHeight="1">
      <c r="A61" s="17" t="inlineStr">
        <is>
          <t xml:space="preserve">Lorsque la législation permet d'imputer à titre de dépenses libératoires les dépenses restant dues à la fin de l'exercice, ces dernières sont comptabilisées au débit des comptes d'actif ou des comptes de charges concernés par le crédit des comptes de tiers intéressés. </t>
        </is>
      </c>
    </row>
    <row r="62">
      <c r="A62" s="18" t="inlineStr">
        <is>
          <t>Charges de personnel (comptes 64)</t>
        </is>
      </c>
    </row>
    <row r="63">
      <c r="A63" s="17" t="inlineStr">
        <is>
          <t xml:space="preserve">Sont inscrites au compte 641 " Rémunérations du personnel " toutes les rémunérations du personnel, y compris les rémunérations allouées aux gérants majoritaires et aux administrateurs de société. </t>
        </is>
      </c>
    </row>
    <row r="64" ht="26.4" customHeight="1">
      <c r="A64" s="17" t="inlineStr">
        <is>
          <t xml:space="preserve">Les entreprises individuelles peuvent enregistrer au compte 644 " Rémunération du travail de l'exploitant " les rémunérations de l'exploitant et de sa famille lorsqu'aucune autre rémunération ne constitue la contrepartie du travail fourni. Elles indiquent le mode de calcul retenu pour la fixation de cette rémunération et le montant du bénéfice comptable avant déduction de la rémunération de l'exploitant. </t>
        </is>
      </c>
    </row>
    <row r="65">
      <c r="A65" s="18" t="inlineStr">
        <is>
          <t>Autres charges de gestion courante (comptes 65)</t>
        </is>
      </c>
    </row>
    <row r="66" ht="26.4" customHeight="1">
      <c r="A66" s="17" t="inlineStr">
        <is>
          <t xml:space="preserve">Les pertes sur créances irrécouvrables qui présentent un caractère habituel eu égard notamment à la nature de l'activité ou au volume des affaires traitées sont enregistrées au débit du compte 654 " Pertes sur créances irrécouvrables ". </t>
        </is>
      </c>
    </row>
    <row r="67">
      <c r="A67" s="17" t="inlineStr">
        <is>
          <t xml:space="preserve">Le compte 655 " Quote-parts de résultat sur opérations faites en commun " enregistre à son débit : </t>
        </is>
      </c>
    </row>
    <row r="68" ht="28.8" customHeight="1">
      <c r="A68" s="21" t="inlineStr">
        <is>
          <t xml:space="preserve">la quote-part de résultat sur opérations faites en commun qui représente pour l'entité non gérante sa participation aux pertes. En contrepartie, le compte 458 " Associés - Opérations faites en commun et en GIE " est crédité ; </t>
        </is>
      </c>
    </row>
    <row r="69">
      <c r="A69" s="21" t="inlineStr">
        <is>
          <t xml:space="preserve">la quote-part de résultat sur opérations faites en commun qui représente pour l'entité gérante le montant des bénéfices répartis aux associés non gérants. En contrepartie, le compte 458 est crédité. </t>
        </is>
      </c>
    </row>
    <row r="70">
      <c r="A70" s="18" t="inlineStr">
        <is>
          <t>Charges financières (comptes 66)</t>
        </is>
      </c>
    </row>
    <row r="71">
      <c r="A71" s="17" t="inlineStr">
        <is>
          <t xml:space="preserve">Des subdivisions du compte 661 " Charges d'intérêts " permettent d'identifier notamment les intérêts des emprunts et dettes assimilées concernant les entités liées. </t>
        </is>
      </c>
    </row>
    <row r="72">
      <c r="A72" s="19" t="inlineStr">
        <is>
          <t xml:space="preserve">Le compte 665 " Escomptes accordés " est débité du montant des escomptes accordés par l'entité à ses clients par le crédit du compte 411 " Clients " ou d'un compte de trésorerie. </t>
        </is>
      </c>
    </row>
    <row r="73" ht="26.4" customHeight="1">
      <c r="A73" s="17" t="inlineStr">
        <is>
          <t xml:space="preserve">Le compte 666 " Pertes de change " enregistre à son débit les pertes de change supportées par l'entité au cours de l'exercice. En outre, les écarts de conversion négatifs constatés à la fin de l'exercice sur les disponibilités en devises sont considérés comme des pertes de change supportées. </t>
        </is>
      </c>
    </row>
    <row r="74" ht="26.4" customHeight="1">
      <c r="A74" s="17" t="inlineStr">
        <is>
          <t xml:space="preserve">Le compte 667 " Charges nettes sur cessions de valeurs mobilières de placement " est débité de la valeur brute des valeurs mobilières de placement cédées. Il est crédité du prix de cession de ces valeurs mobilières de placement. </t>
        </is>
      </c>
    </row>
    <row r="75">
      <c r="A75" s="18" t="inlineStr">
        <is>
          <t>Charges exceptionnelles (comptes 67)</t>
        </is>
      </c>
    </row>
    <row r="76">
      <c r="A76" s="17" t="inlineStr">
        <is>
          <t xml:space="preserve">Les charges exceptionnelles sont inscrites au débit : </t>
        </is>
      </c>
    </row>
    <row r="77">
      <c r="A77" s="20" t="inlineStr">
        <is>
          <t>du compte 671 " Charges exceptionnelles sur opérations de gestion " lorsqu'elles concernent des opérations de gestion ;</t>
        </is>
      </c>
    </row>
    <row r="78">
      <c r="A78" s="20" t="inlineStr">
        <is>
          <t xml:space="preserve">des comptes 675 " Valeurs comptables des éléments d'actif cédés " et 678 " Autres charges exceptionnelles " lorsqu'elles concernent des opérations en capital. </t>
        </is>
      </c>
    </row>
    <row r="79" ht="26.4" customHeight="1">
      <c r="A79" s="17" t="inlineStr">
        <is>
          <t xml:space="preserve">Le compte 675 est débité du montant de la valeur brute, le cas échéant diminuée des amortissements, des éléments d'actif cédés par le crédit du compte d'actif intéressé sauf s'il s'agit de TIAP ou de valeurs mobilières de placement. </t>
        </is>
      </c>
    </row>
    <row r="80">
      <c r="A80" s="17" t="inlineStr">
        <is>
          <t xml:space="preserve">Le compte 675 est débité de la valeur brute des TIAP cédés lorsque la cession est génératrice d'une perte. Il est alors crédité du prix de cession de ces titres. </t>
        </is>
      </c>
    </row>
    <row r="81" ht="26.4" customHeight="1">
      <c r="A81" s="17" t="inlineStr">
        <is>
          <t xml:space="preserve">La valeur brute des valeurs mobilières de placement cédées est virée au débit du compte 667 " Charges nettes sur cessions de valeurs mobilières de placement " ou 767 " Produits nets sur cessions de valeurs mobilières de placement " selon que la cession est génératrice d'une perte ou d'un profit. </t>
        </is>
      </c>
    </row>
    <row r="82" ht="26.4" customHeight="1">
      <c r="A82" s="17" t="inlineStr">
        <is>
          <t xml:space="preserve">En cours de période, les entités peuvent utiliser le compte 672 pour enregistrer les charges sur exercices antérieurs à condition de les répartir au moins en fin d'exercice entre les charges d'exploitation et les charges exceptionnelles en fonction de leur nature. </t>
        </is>
      </c>
    </row>
    <row r="83">
      <c r="A83" s="18" t="inlineStr">
        <is>
          <t>Dotations aux amortissements et aux provisions (comptes 68)</t>
        </is>
      </c>
    </row>
    <row r="84" ht="39.6" customHeight="1">
      <c r="A84" s="17" t="inlineStr">
        <is>
          <t xml:space="preserve">Les comptes 681 " Dotations aux amortissements et aux provisions - Charges d'exploitation ",686 " Dotations aux amortissements et aux provisions - Charges financières " et 687 " Dotations aux amortissements et aux provisions - Charges exceptionnelles " sont débités du montant respectif des dotations de l'exercice aux amortissements et aux provisions par le crédit des subdivisions, des comptes d'amortissements et de provisions concernés. </t>
        </is>
      </c>
    </row>
    <row r="85">
      <c r="A85" s="17" t="inlineStr">
        <is>
          <t xml:space="preserve">Les amortissements dérogatoires comptabilisés dans l'exercice sont inscrits au débit du compte 6872 " Dotations aux provisions réglementées (immobilisations) ". </t>
        </is>
      </c>
    </row>
    <row r="86">
      <c r="A86" s="18" t="inlineStr">
        <is>
          <t>Participation des salariés - impôts sur les bénéfices et assimilés (comptes 69)</t>
        </is>
      </c>
    </row>
    <row r="87">
      <c r="A87" s="17" t="inlineStr">
        <is>
          <t xml:space="preserve">Le compte 691 " Participation des salariés aux résultats " fonctionne de la façon suivante. </t>
        </is>
      </c>
    </row>
    <row r="88" ht="28.8" customHeight="1">
      <c r="A88" s="19" t="inlineStr">
        <is>
          <t xml:space="preserve">A la clôture de l'exercice au titre duquel les droit des salariés sont nés, la participation est inscrite au crédit du compte 4284 " Dettes provisionnées pour participation des salariés aux résultats ", par le débit du compte691 " Participation des salariés aux résultats ". </t>
        </is>
      </c>
    </row>
    <row r="89" ht="28.8" customHeight="1">
      <c r="A89" s="19" t="inlineStr">
        <is>
          <t xml:space="preserve">Lorsque le montant de la participation a été approuvé par l'assemblée générale des actionnaires, ou à la date de validité du contrat si elle est postérieure à celle de l'assemblée générale, la dette envers les salariés est constatée en tant que réserve spéciale au crédit du compte 424 " Participation des salariés aux résultats " : </t>
        </is>
      </c>
    </row>
    <row r="90">
      <c r="A90" s="21" t="inlineStr">
        <is>
          <t xml:space="preserve">soit par le débit du compte 428 " Personnel - Charges à payer et produits à recevoir ". Les ajustements nécessaires sont effectués par le débit ou le crédit d'une subdivision particulière du compte 691, </t>
        </is>
      </c>
    </row>
    <row r="91">
      <c r="A91" s="20" t="inlineStr">
        <is>
          <t xml:space="preserve">soit par le débit du compte 691 pour le montant total de la participation, lorsqu'on a procédé à la contre-passation de la dette provisionnée au titre de l'exercice précédent. </t>
        </is>
      </c>
    </row>
    <row r="92" ht="26.4" customHeight="1">
      <c r="A92" s="17" t="inlineStr">
        <is>
          <t xml:space="preserve">Le compte 695 " Impôts sur les bénéfices " enregistre à son débit le montant dû au titre des bénéfices imposables en France et à l'étranger. Des subdivisions permettent, le cas échéant, d'identifier les rappels et dégrèvements d'impôts concernant les bénéfices taxables des exercices antérieurs. </t>
        </is>
      </c>
    </row>
    <row r="93">
      <c r="A93" s="17" t="inlineStr">
        <is>
          <t xml:space="preserve">Le compte 696 " Suppléments d'impôt sur les sociétés à payer liés aux distributions " enregistre le supplément d'impôt sur les sociétés dû en raison des distributions. </t>
        </is>
      </c>
    </row>
    <row r="94" ht="43.2" customHeight="1">
      <c r="A94" s="19" t="inlineStr">
        <is>
          <t xml:space="preserve">Le compte 697 " Imposition forfaitaire annuelle des sociétés " enregistre l'imposition forfaitaire annuelle des sociétés lorsqu'elle reste définitivement à la charge de la société. Lorsque l'imposition est susceptible d'être imputée sur l'impôt sur les sociétés dû au titre des deux exercices suivants, son montant reste en acompte au débit du compte 444 " Etat - Impôts sur les bénéfices ", corrélativement une provision du même montant est constituée afin de faire face au risque de non-récupération. </t>
        </is>
      </c>
    </row>
    <row r="95" ht="26.4" customHeight="1">
      <c r="A95" s="17" t="inlineStr">
        <is>
          <t>Le compte 698 " Intégration fiscale " enregistre les charges ou produits afférents à l'application du régime d'intégration fiscale. Les charges sont comptabilisées au compte 6981 " Intégration fiscale - Charges " et les produits au compte 6989 " Intégration fiscale - Produits ".</t>
        </is>
      </c>
    </row>
    <row r="96">
      <c r="A96" s="17" t="inlineStr">
        <is>
          <t>Le crédit du compte 699 " Produits - Report en arrière des déficits " enregistre le produit résultant du report en arrière des déficits.</t>
        </is>
      </c>
    </row>
  </sheetData>
  <autoFilter ref="A1:A8"/>
  <hyperlinks>
    <hyperlink xmlns:r="http://schemas.openxmlformats.org/officeDocument/2006/relationships" ref="A7" location="classe-6" display="http://www.plancomptable.com/titre-IV/titre-IV_chapitre-III_section-4.htm - classe-6" r:id="rId1"/>
    <hyperlink xmlns:r="http://schemas.openxmlformats.org/officeDocument/2006/relationships" ref="A11" location="comptes-79" display="http://www.plancomptable.com/titre-IV/titre-IV_chapitre-IV_section-7.htm - comptes-79" r:id="rId2"/>
    <hyperlink xmlns:r="http://schemas.openxmlformats.org/officeDocument/2006/relationships" ref="A13" display="http://www.plancomptable.com/titre-IV/titre-IV_chapitre-IV_section-6.htm" r:id="rId3"/>
    <hyperlink xmlns:r="http://schemas.openxmlformats.org/officeDocument/2006/relationships" ref="A14" location="classe-3" display="http://www.plancomptable.com/titre-IV/titre-IV_chapitre-III_section-4.htm - classe-3" r:id="rId4"/>
    <hyperlink xmlns:r="http://schemas.openxmlformats.org/officeDocument/2006/relationships" ref="A20" location="765" display="http://www.plancomptable.com/titre-IV/titre-IV_chapitre-IV_section-7.htm - 765" r:id="rId5"/>
    <hyperlink xmlns:r="http://schemas.openxmlformats.org/officeDocument/2006/relationships" ref="A23" location="408" display="http://www.plancomptable.com/titre-IV/titre-IV_chapitre-IV_section-4.htm - 408" r:id="rId6"/>
    <hyperlink xmlns:r="http://schemas.openxmlformats.org/officeDocument/2006/relationships" ref="A27" location="486" display="http://www.plancomptable.com/titre-IV/titre-IV_chapitre-IV_section-4.htm - 486" r:id="rId7"/>
    <hyperlink xmlns:r="http://schemas.openxmlformats.org/officeDocument/2006/relationships" ref="A29" display="http://www.plancomptable.com/titre-IV/titre-IV_chapitre-IV_section-6.htm" r:id="rId8"/>
    <hyperlink xmlns:r="http://schemas.openxmlformats.org/officeDocument/2006/relationships" ref="A34" display="http://www.plancomptable.com/titre-IV/titre-IV_chapitre-IV_section-6.htm" r:id="rId9"/>
    <hyperlink xmlns:r="http://schemas.openxmlformats.org/officeDocument/2006/relationships" ref="A35" location="comptes-65" display="http://www.plancomptable.com/titre-IV/titre-IV_chapitre-IV_section-6.htm - comptes-65" r:id="rId10"/>
    <hyperlink xmlns:r="http://schemas.openxmlformats.org/officeDocument/2006/relationships" ref="A42" location="comptes-66" display="http://www.plancomptable.com/titre-IV/titre-IV_chapitre-IV_section-6.htm - comptes-66" r:id="rId11"/>
    <hyperlink xmlns:r="http://schemas.openxmlformats.org/officeDocument/2006/relationships" ref="A43" location="609" display="http://www.plancomptable.com/titre-IV/titre-IV_chapitre-IV_section-6.htm - 609" r:id="rId12"/>
    <hyperlink xmlns:r="http://schemas.openxmlformats.org/officeDocument/2006/relationships" ref="A44" display="http://www.plancomptable.com/titre-IV/titre-IV_chapitre-IV_section-6.htm" r:id="rId13"/>
    <hyperlink xmlns:r="http://schemas.openxmlformats.org/officeDocument/2006/relationships" ref="A48" location="695" display="http://www.plancomptable.com/titre-IV/titre-IV_chapitre-IV_section-6.htm - 695" r:id="rId14"/>
    <hyperlink xmlns:r="http://schemas.openxmlformats.org/officeDocument/2006/relationships" ref="A54" location="447" display="http://www.plancomptable.com/titre-IV/titre-IV_chapitre-IV_section-4.htm - 447" r:id="rId15"/>
    <hyperlink xmlns:r="http://schemas.openxmlformats.org/officeDocument/2006/relationships" ref="A55" location="447" display="http://www.plancomptable.com/titre-IV/titre-IV_chapitre-IV_section-4.htm - 447" r:id="rId16"/>
    <hyperlink xmlns:r="http://schemas.openxmlformats.org/officeDocument/2006/relationships" ref="A60" location="classe-6" display="http://www.plancomptable.com/titre-IV/titre-IV_chapitre-III_section-4.htm - classe-6" r:id="rId17"/>
    <hyperlink xmlns:r="http://schemas.openxmlformats.org/officeDocument/2006/relationships" ref="A62" display="http://www.plancomptable.com/titre-IV/titre-IV_chapitre-IV_section-6.htm" r:id="rId18"/>
    <hyperlink xmlns:r="http://schemas.openxmlformats.org/officeDocument/2006/relationships" ref="A65" display="http://www.plancomptable.com/titre-IV/titre-IV_chapitre-IV_section-6.htm" r:id="rId19"/>
    <hyperlink xmlns:r="http://schemas.openxmlformats.org/officeDocument/2006/relationships" ref="A68" location="458" display="http://www.plancomptable.com/titre-IV/titre-IV_chapitre-IV_section-4.htm - 458" r:id="rId20"/>
    <hyperlink xmlns:r="http://schemas.openxmlformats.org/officeDocument/2006/relationships" ref="A69" location="458" display="http://www.plancomptable.com/titre-IV/titre-IV_chapitre-IV_section-4.htm - 458" r:id="rId21"/>
    <hyperlink xmlns:r="http://schemas.openxmlformats.org/officeDocument/2006/relationships" ref="A70" display="http://www.plancomptable.com/titre-IV/titre-IV_chapitre-IV_section-6.htm" r:id="rId22"/>
    <hyperlink xmlns:r="http://schemas.openxmlformats.org/officeDocument/2006/relationships" ref="A72" location="411" display="http://www.plancomptable.com/titre-IV/titre-IV_chapitre-IV_section-4.htm - 411" r:id="rId23"/>
    <hyperlink xmlns:r="http://schemas.openxmlformats.org/officeDocument/2006/relationships" ref="A75" display="http://www.plancomptable.com/titre-IV/titre-IV_chapitre-IV_section-6.htm" r:id="rId24"/>
    <hyperlink xmlns:r="http://schemas.openxmlformats.org/officeDocument/2006/relationships" ref="A83" display="http://www.plancomptable.com/titre-IV/titre-IV_chapitre-IV_section-6.htm" r:id="rId25"/>
    <hyperlink xmlns:r="http://schemas.openxmlformats.org/officeDocument/2006/relationships" ref="A86" display="http://www.plancomptable.com/titre-IV/titre-IV_chapitre-IV_section-6.htm" r:id="rId26"/>
    <hyperlink xmlns:r="http://schemas.openxmlformats.org/officeDocument/2006/relationships" ref="A88" location="428" display="http://www.plancomptable.com/titre-IV/titre-IV_chapitre-IV_section-4.htm - 428" r:id="rId27"/>
    <hyperlink xmlns:r="http://schemas.openxmlformats.org/officeDocument/2006/relationships" ref="A89" location="424" display="http://www.plancomptable.com/titre-IV/titre-IV_chapitre-IV_section-4.htm - 424" r:id="rId28"/>
    <hyperlink xmlns:r="http://schemas.openxmlformats.org/officeDocument/2006/relationships" ref="A90" location="428" display="http://www.plancomptable.com/titre-IV/titre-IV_chapitre-IV_section-4.htm - 428" r:id="rId29"/>
    <hyperlink xmlns:r="http://schemas.openxmlformats.org/officeDocument/2006/relationships" ref="A94" location="444" display="http://www.plancomptable.com/titre-IV/titre-IV_chapitre-IV_section-4.htm - 444" r:id="rId30"/>
  </hyperlinks>
  <pageMargins left="0.7" right="0.7" top="0.75" bottom="0.75" header="0.3" footer="0.3"/>
</worksheet>
</file>

<file path=xl/worksheets/sheet5.xml><?xml version="1.0" encoding="utf-8"?>
<worksheet xmlns="http://schemas.openxmlformats.org/spreadsheetml/2006/main">
  <sheetPr>
    <tabColor rgb="FFFFFF00"/>
    <outlinePr summaryBelow="1" summaryRight="1"/>
    <pageSetUpPr/>
  </sheetPr>
  <dimension ref="A1:M1027"/>
  <sheetViews>
    <sheetView zoomScale="125" zoomScaleNormal="125" zoomScalePageLayoutView="125" workbookViewId="0">
      <selection activeCell="E2" sqref="E2"/>
    </sheetView>
  </sheetViews>
  <sheetFormatPr baseColWidth="10" defaultRowHeight="14.4"/>
  <cols>
    <col width="5.44140625" bestFit="1" customWidth="1" style="62" min="1" max="1"/>
    <col width="3.44140625" bestFit="1" customWidth="1" style="60" min="2" max="2"/>
    <col width="21.44140625" bestFit="1" customWidth="1" min="3" max="3"/>
    <col width="23.109375" bestFit="1" customWidth="1" style="62" min="4" max="4"/>
    <col width="11.5546875" customWidth="1" style="62" min="5" max="8"/>
    <col width="20.109375" customWidth="1" style="62" min="9" max="9"/>
    <col width="31.33203125" bestFit="1" customWidth="1" style="62" min="10" max="10"/>
    <col width="11.5546875" customWidth="1" style="62" min="11" max="11"/>
    <col width="10.88671875" customWidth="1" style="77" min="12" max="12"/>
    <col width="11.5546875" customWidth="1" style="62" min="13" max="16384"/>
  </cols>
  <sheetData>
    <row r="1" ht="15" customHeight="1" thickBot="1">
      <c r="A1" s="62" t="inlineStr">
        <is>
          <t>Code</t>
        </is>
      </c>
      <c r="B1" s="57" t="inlineStr">
        <is>
          <t xml:space="preserve">N° </t>
        </is>
      </c>
      <c r="C1" s="57" t="inlineStr">
        <is>
          <t>N° de pièce Comptable</t>
        </is>
      </c>
      <c r="D1" s="63" t="inlineStr">
        <is>
          <t>Descriptif</t>
        </is>
      </c>
      <c r="E1" s="64" t="inlineStr">
        <is>
          <t>Date</t>
        </is>
      </c>
      <c r="F1" s="64" t="inlineStr">
        <is>
          <t>Type</t>
        </is>
      </c>
      <c r="G1" s="64" t="inlineStr">
        <is>
          <t>N° chèque</t>
        </is>
      </c>
      <c r="H1" s="64" t="inlineStr">
        <is>
          <t>Tiers</t>
        </is>
      </c>
      <c r="I1" s="65" t="inlineStr">
        <is>
          <t>Rubrique</t>
        </is>
      </c>
      <c r="J1" s="66" t="inlineStr">
        <is>
          <t>Thème</t>
        </is>
      </c>
      <c r="K1" s="67" t="inlineStr">
        <is>
          <t>Montant</t>
        </is>
      </c>
      <c r="L1" s="68" t="inlineStr">
        <is>
          <t>Banque</t>
        </is>
      </c>
    </row>
    <row r="2">
      <c r="A2" s="62" t="inlineStr">
        <is>
          <t>P</t>
        </is>
      </c>
      <c r="B2" s="58" t="n">
        <v>1</v>
      </c>
      <c r="C2" s="59">
        <f>IF(B2&lt;&gt;" ",CONCATENATE(A2,B2)," ")</f>
        <v/>
      </c>
      <c r="D2" s="75" t="inlineStr">
        <is>
          <t>Mon 1er produit</t>
        </is>
      </c>
      <c r="E2" s="70" t="n">
        <v>45954</v>
      </c>
      <c r="F2" s="71" t="inlineStr">
        <is>
          <t>Dépôt Chèque</t>
        </is>
      </c>
      <c r="G2" s="71" t="n"/>
      <c r="H2" s="71" t="n"/>
      <c r="I2" s="71" t="inlineStr">
        <is>
          <t>Ventes de produits, marchandises, prestations de services</t>
        </is>
      </c>
      <c r="J2" s="71" t="inlineStr">
        <is>
          <t>Sponsors</t>
        </is>
      </c>
      <c r="K2" s="79" t="n">
        <v>150</v>
      </c>
      <c r="L2" s="74" t="n"/>
    </row>
    <row r="3">
      <c r="A3" s="62" t="inlineStr">
        <is>
          <t>P</t>
        </is>
      </c>
      <c r="B3" s="60">
        <f>IF(D3&gt;1/1/2001,B2+1," ")</f>
        <v/>
      </c>
      <c r="C3" s="59">
        <f>IF(B3&lt;&gt;" ",CONCATENATE(A3,B3)," ")</f>
        <v/>
      </c>
      <c r="D3" s="75" t="n"/>
      <c r="E3" s="70" t="n"/>
      <c r="F3" s="71" t="n"/>
      <c r="G3" s="71" t="n"/>
      <c r="H3" s="71" t="n"/>
      <c r="I3" s="71" t="n"/>
      <c r="J3" s="71" t="n"/>
      <c r="K3" s="79" t="n"/>
      <c r="L3" s="74" t="n"/>
    </row>
    <row r="4">
      <c r="A4" s="62" t="inlineStr">
        <is>
          <t>P</t>
        </is>
      </c>
      <c r="B4" s="60">
        <f>IF(D4&gt;1/1/2001,B3+1," ")</f>
        <v/>
      </c>
      <c r="C4" s="59">
        <f>IF(B4&lt;&gt;" ",CONCATENATE(A4,B4)," ")</f>
        <v/>
      </c>
      <c r="D4" s="75" t="n"/>
      <c r="E4" s="70" t="n"/>
      <c r="F4" s="71" t="n"/>
      <c r="G4" s="71" t="n"/>
      <c r="H4" s="71" t="n"/>
      <c r="I4" s="71" t="n"/>
      <c r="J4" s="71" t="n"/>
      <c r="K4" s="79" t="n"/>
      <c r="L4" s="74" t="n"/>
    </row>
    <row r="5">
      <c r="A5" s="62" t="inlineStr">
        <is>
          <t>P</t>
        </is>
      </c>
      <c r="B5" s="60">
        <f>IF(D5&gt;1/1/2001,B4+1," ")</f>
        <v/>
      </c>
      <c r="C5" s="59">
        <f>IF(B5&lt;&gt;" ",CONCATENATE(A5,B5)," ")</f>
        <v/>
      </c>
      <c r="D5" s="75" t="n"/>
      <c r="E5" s="70" t="n"/>
      <c r="F5" s="71" t="n"/>
      <c r="G5" s="71" t="n"/>
      <c r="H5" s="71" t="n"/>
      <c r="I5" s="71" t="n"/>
      <c r="J5" s="71" t="n"/>
      <c r="K5" s="79" t="n"/>
      <c r="L5" s="74" t="n"/>
    </row>
    <row r="6">
      <c r="A6" s="62" t="inlineStr">
        <is>
          <t>P</t>
        </is>
      </c>
      <c r="B6" s="60">
        <f>IF(D6&gt;1/1/2001,B5+1," ")</f>
        <v/>
      </c>
      <c r="C6" s="59">
        <f>IF(B6&lt;&gt;" ",CONCATENATE(A6,B6)," ")</f>
        <v/>
      </c>
      <c r="D6" s="75" t="n"/>
      <c r="E6" s="70" t="n"/>
      <c r="F6" s="71" t="n"/>
      <c r="G6" s="71" t="n"/>
      <c r="H6" s="71" t="n"/>
      <c r="I6" s="71" t="n"/>
      <c r="J6" s="71" t="n"/>
      <c r="K6" s="79" t="n"/>
      <c r="L6" s="74" t="n"/>
    </row>
    <row r="7">
      <c r="A7" s="62" t="inlineStr">
        <is>
          <t>P</t>
        </is>
      </c>
      <c r="B7" s="60">
        <f>IF(D7&gt;1/1/2001,B6+1," ")</f>
        <v/>
      </c>
      <c r="C7" s="59">
        <f>IF(B7&lt;&gt;" ",CONCATENATE(A7,B7)," ")</f>
        <v/>
      </c>
      <c r="D7" s="75" t="n"/>
      <c r="E7" s="70" t="n"/>
      <c r="F7" s="71" t="n"/>
      <c r="G7" s="71" t="n"/>
      <c r="H7" s="71" t="n"/>
      <c r="I7" s="71" t="n"/>
      <c r="J7" s="71" t="n"/>
      <c r="K7" s="79" t="n"/>
      <c r="L7" s="74" t="n"/>
    </row>
    <row r="8">
      <c r="A8" s="62" t="inlineStr">
        <is>
          <t>P</t>
        </is>
      </c>
      <c r="B8" s="60">
        <f>IF(D8&gt;1/1/2001,B7+1," ")</f>
        <v/>
      </c>
      <c r="C8" s="59">
        <f>IF(B8&lt;&gt;" ",CONCATENATE(A8,B8)," ")</f>
        <v/>
      </c>
      <c r="D8" s="75" t="n"/>
      <c r="E8" s="70" t="n"/>
      <c r="F8" s="71" t="n"/>
      <c r="G8" s="71" t="n"/>
      <c r="H8" s="71" t="n"/>
      <c r="I8" s="71" t="n"/>
      <c r="J8" s="71" t="n"/>
      <c r="K8" s="79" t="n"/>
      <c r="L8" s="74" t="n"/>
    </row>
    <row r="9">
      <c r="A9" s="62" t="inlineStr">
        <is>
          <t>P</t>
        </is>
      </c>
      <c r="B9" s="60">
        <f>IF(D9&gt;1/1/2001,B8+1," ")</f>
        <v/>
      </c>
      <c r="C9" s="59">
        <f>IF(B9&lt;&gt;" ",CONCATENATE(A9,B9)," ")</f>
        <v/>
      </c>
      <c r="D9" s="75" t="n"/>
      <c r="E9" s="70" t="n"/>
      <c r="F9" s="71" t="n"/>
      <c r="G9" s="71" t="n"/>
      <c r="H9" s="71" t="n"/>
      <c r="I9" s="71" t="n"/>
      <c r="J9" s="71" t="n"/>
      <c r="K9" s="79" t="n"/>
      <c r="L9" s="74" t="n"/>
    </row>
    <row r="10">
      <c r="A10" s="62" t="inlineStr">
        <is>
          <t>P</t>
        </is>
      </c>
      <c r="B10" s="60">
        <f>IF(D10&gt;1/1/2001,B9+1," ")</f>
        <v/>
      </c>
      <c r="C10" s="59">
        <f>IF(B10&lt;&gt;" ",CONCATENATE(A10,B10)," ")</f>
        <v/>
      </c>
      <c r="D10" s="75" t="n"/>
      <c r="E10" s="70" t="n"/>
      <c r="F10" s="71" t="n"/>
      <c r="G10" s="71" t="n"/>
      <c r="H10" s="71" t="n"/>
      <c r="I10" s="71" t="n"/>
      <c r="J10" s="71" t="n"/>
      <c r="K10" s="79" t="n"/>
      <c r="L10" s="74" t="n"/>
    </row>
    <row r="11">
      <c r="A11" s="62" t="inlineStr">
        <is>
          <t>P</t>
        </is>
      </c>
      <c r="B11" s="60">
        <f>IF(D11&gt;1/1/2001,B10+1," ")</f>
        <v/>
      </c>
      <c r="C11" s="59">
        <f>IF(B11&lt;&gt;" ",CONCATENATE(A11,B11)," ")</f>
        <v/>
      </c>
      <c r="D11" s="75" t="n"/>
      <c r="E11" s="70" t="n"/>
      <c r="F11" s="71" t="n"/>
      <c r="G11" s="71" t="n"/>
      <c r="H11" s="71" t="n"/>
      <c r="I11" s="71" t="n"/>
      <c r="J11" s="71" t="n"/>
      <c r="K11" s="79" t="n"/>
      <c r="L11" s="74" t="n"/>
    </row>
    <row r="12">
      <c r="A12" s="62" t="inlineStr">
        <is>
          <t>P</t>
        </is>
      </c>
      <c r="B12" s="60">
        <f>IF(D12&gt;1/1/2001,B11+1," ")</f>
        <v/>
      </c>
      <c r="C12" s="59">
        <f>IF(B12&lt;&gt;" ",CONCATENATE(A12,B12)," ")</f>
        <v/>
      </c>
      <c r="D12" s="75" t="n"/>
      <c r="E12" s="70" t="n"/>
      <c r="F12" s="71" t="n"/>
      <c r="G12" s="71" t="n"/>
      <c r="H12" s="71" t="n"/>
      <c r="I12" s="71" t="n"/>
      <c r="J12" s="71" t="n"/>
      <c r="K12" s="79" t="n"/>
      <c r="L12" s="74" t="n"/>
    </row>
    <row r="13">
      <c r="A13" s="62" t="inlineStr">
        <is>
          <t>P</t>
        </is>
      </c>
      <c r="B13" s="60">
        <f>IF(D13&gt;1/1/2001,B12+1," ")</f>
        <v/>
      </c>
      <c r="C13" s="59">
        <f>IF(B13&lt;&gt;" ",CONCATENATE(A13,B13)," ")</f>
        <v/>
      </c>
      <c r="D13" s="75" t="n"/>
      <c r="E13" s="70" t="n"/>
      <c r="F13" s="71" t="n"/>
      <c r="G13" s="71" t="n"/>
      <c r="H13" s="71" t="n"/>
      <c r="I13" s="71" t="n"/>
      <c r="J13" s="71" t="n"/>
      <c r="K13" s="79" t="n"/>
      <c r="L13" s="74" t="n"/>
    </row>
    <row r="14">
      <c r="A14" s="62" t="inlineStr">
        <is>
          <t>P</t>
        </is>
      </c>
      <c r="B14" s="60">
        <f>IF(D14&gt;1/1/2001,B13+1," ")</f>
        <v/>
      </c>
      <c r="C14" s="59">
        <f>IF(B14&lt;&gt;" ",CONCATENATE(A14,B14)," ")</f>
        <v/>
      </c>
      <c r="D14" s="75" t="n"/>
      <c r="E14" s="70" t="n"/>
      <c r="F14" s="71" t="n"/>
      <c r="G14" s="71" t="n"/>
      <c r="H14" s="71" t="n"/>
      <c r="I14" s="71" t="n"/>
      <c r="J14" s="71" t="n"/>
      <c r="K14" s="79" t="n"/>
      <c r="L14" s="74" t="n"/>
    </row>
    <row r="15">
      <c r="A15" s="62" t="inlineStr">
        <is>
          <t>P</t>
        </is>
      </c>
      <c r="B15" s="60">
        <f>IF(D15&gt;1/1/2001,B14+1," ")</f>
        <v/>
      </c>
      <c r="C15" s="59">
        <f>IF(B15&lt;&gt;" ",CONCATENATE(A15,B15)," ")</f>
        <v/>
      </c>
      <c r="D15" s="75" t="n"/>
      <c r="E15" s="70" t="n"/>
      <c r="F15" s="71" t="n"/>
      <c r="G15" s="71" t="n"/>
      <c r="H15" s="71" t="n"/>
      <c r="I15" s="71" t="n"/>
      <c r="J15" s="71" t="n"/>
      <c r="K15" s="79" t="n"/>
      <c r="L15" s="74" t="n"/>
    </row>
    <row r="16">
      <c r="A16" s="62" t="inlineStr">
        <is>
          <t>P</t>
        </is>
      </c>
      <c r="B16" s="60">
        <f>IF(D16&gt;1/1/2001,B15+1," ")</f>
        <v/>
      </c>
      <c r="C16" s="59">
        <f>IF(B16&lt;&gt;" ",CONCATENATE(A16,B16)," ")</f>
        <v/>
      </c>
      <c r="D16" s="75" t="n"/>
      <c r="E16" s="70" t="n"/>
      <c r="F16" s="71" t="n"/>
      <c r="G16" s="71" t="n"/>
      <c r="H16" s="71" t="n"/>
      <c r="I16" s="71" t="n"/>
      <c r="J16" s="71" t="n"/>
      <c r="K16" s="79" t="n"/>
      <c r="L16" s="74" t="n"/>
    </row>
    <row r="17">
      <c r="A17" s="62" t="inlineStr">
        <is>
          <t>P</t>
        </is>
      </c>
      <c r="B17" s="60">
        <f>IF(D17&gt;1/1/2001,B16+1," ")</f>
        <v/>
      </c>
      <c r="C17" s="59">
        <f>IF(B17&lt;&gt;" ",CONCATENATE(A17,B17)," ")</f>
        <v/>
      </c>
      <c r="D17" s="75" t="n"/>
      <c r="E17" s="70" t="n"/>
      <c r="F17" s="71" t="n"/>
      <c r="G17" s="71" t="n"/>
      <c r="H17" s="71" t="n"/>
      <c r="I17" s="71" t="n"/>
      <c r="J17" s="71" t="n"/>
      <c r="K17" s="79" t="n"/>
      <c r="L17" s="74" t="n"/>
    </row>
    <row r="18">
      <c r="A18" s="62" t="inlineStr">
        <is>
          <t>P</t>
        </is>
      </c>
      <c r="B18" s="60">
        <f>IF(D18&gt;1/1/2001,B17+1," ")</f>
        <v/>
      </c>
      <c r="C18" s="59">
        <f>IF(B18&lt;&gt;" ",CONCATENATE(A18,B18)," ")</f>
        <v/>
      </c>
      <c r="D18" s="75" t="n"/>
      <c r="E18" s="70" t="n"/>
      <c r="F18" s="71" t="n"/>
      <c r="G18" s="71" t="n"/>
      <c r="H18" s="71" t="n"/>
      <c r="I18" s="71" t="n"/>
      <c r="J18" s="71" t="n"/>
      <c r="K18" s="79" t="n"/>
      <c r="L18" s="74" t="n"/>
    </row>
    <row r="19">
      <c r="A19" s="62" t="inlineStr">
        <is>
          <t>P</t>
        </is>
      </c>
      <c r="B19" s="60">
        <f>IF(D19&gt;1/1/2001,B18+1," ")</f>
        <v/>
      </c>
      <c r="C19" s="59">
        <f>IF(B19&lt;&gt;" ",CONCATENATE(A19,B19)," ")</f>
        <v/>
      </c>
      <c r="D19" s="75" t="n"/>
      <c r="E19" s="70" t="n"/>
      <c r="F19" s="71" t="n"/>
      <c r="G19" s="71" t="n"/>
      <c r="H19" s="71" t="n"/>
      <c r="I19" s="71" t="n"/>
      <c r="J19" s="71" t="n"/>
      <c r="K19" s="79" t="n"/>
      <c r="L19" s="74" t="n"/>
    </row>
    <row r="20">
      <c r="A20" s="62" t="inlineStr">
        <is>
          <t>P</t>
        </is>
      </c>
      <c r="B20" s="60">
        <f>IF(D20&gt;1/1/2001,B19+1," ")</f>
        <v/>
      </c>
      <c r="C20" s="59">
        <f>IF(B20&lt;&gt;" ",CONCATENATE(A20,B20)," ")</f>
        <v/>
      </c>
      <c r="D20" s="75" t="n"/>
      <c r="E20" s="70" t="n"/>
      <c r="F20" s="71" t="n"/>
      <c r="G20" s="71" t="n"/>
      <c r="H20" s="71" t="n"/>
      <c r="I20" s="71" t="n"/>
      <c r="J20" s="71" t="n"/>
      <c r="K20" s="79" t="n"/>
      <c r="L20" s="74" t="n"/>
    </row>
    <row r="21">
      <c r="A21" s="62" t="inlineStr">
        <is>
          <t>P</t>
        </is>
      </c>
      <c r="B21" s="60">
        <f>IF(D21&gt;1/1/2001,B20+1," ")</f>
        <v/>
      </c>
      <c r="C21" s="59">
        <f>IF(B21&lt;&gt;" ",CONCATENATE(A21,B21)," ")</f>
        <v/>
      </c>
      <c r="D21" s="75" t="n"/>
      <c r="E21" s="70" t="n"/>
      <c r="F21" s="71" t="n"/>
      <c r="G21" s="71" t="n"/>
      <c r="H21" s="71" t="n"/>
      <c r="I21" s="71" t="n"/>
      <c r="J21" s="71" t="n"/>
      <c r="K21" s="79" t="n"/>
      <c r="L21" s="74" t="n"/>
    </row>
    <row r="22">
      <c r="A22" s="62" t="inlineStr">
        <is>
          <t>P</t>
        </is>
      </c>
      <c r="B22" s="60">
        <f>IF(D22&gt;1/1/2001,B21+1," ")</f>
        <v/>
      </c>
      <c r="C22" s="59">
        <f>IF(B22&lt;&gt;" ",CONCATENATE(A22,B22)," ")</f>
        <v/>
      </c>
      <c r="D22" s="75" t="n"/>
      <c r="E22" s="70" t="n"/>
      <c r="F22" s="71" t="n"/>
      <c r="G22" s="71" t="n"/>
      <c r="H22" s="71" t="n"/>
      <c r="I22" s="71" t="n"/>
      <c r="J22" s="71" t="n"/>
      <c r="K22" s="79" t="n"/>
      <c r="L22" s="74" t="n"/>
    </row>
    <row r="23">
      <c r="A23" s="62" t="inlineStr">
        <is>
          <t>P</t>
        </is>
      </c>
      <c r="B23" s="60">
        <f>IF(D23&gt;1/1/2001,B22+1," ")</f>
        <v/>
      </c>
      <c r="C23" s="59">
        <f>IF(B23&lt;&gt;" ",CONCATENATE(A23,B23)," ")</f>
        <v/>
      </c>
      <c r="D23" s="75" t="n"/>
      <c r="E23" s="70" t="n"/>
      <c r="F23" s="71" t="n"/>
      <c r="G23" s="71" t="n"/>
      <c r="H23" s="71" t="n"/>
      <c r="I23" s="71" t="n"/>
      <c r="J23" s="71" t="n"/>
      <c r="K23" s="79" t="n"/>
      <c r="L23" s="74" t="n"/>
    </row>
    <row r="24">
      <c r="A24" s="62" t="inlineStr">
        <is>
          <t>P</t>
        </is>
      </c>
      <c r="B24" s="60">
        <f>IF(D24&gt;1/1/2001,B23+1," ")</f>
        <v/>
      </c>
      <c r="C24" s="59">
        <f>IF(B24&lt;&gt;" ",CONCATENATE(A24,B24)," ")</f>
        <v/>
      </c>
      <c r="D24" s="75" t="n"/>
      <c r="E24" s="70" t="n"/>
      <c r="F24" s="72" t="n"/>
      <c r="G24" s="72" t="n"/>
      <c r="H24" s="72" t="n"/>
      <c r="I24" s="71" t="n"/>
      <c r="J24" s="71" t="n"/>
      <c r="K24" s="73" t="n"/>
      <c r="L24" s="74" t="n"/>
    </row>
    <row r="25">
      <c r="A25" s="62" t="inlineStr">
        <is>
          <t>P</t>
        </is>
      </c>
      <c r="B25" s="60">
        <f>IF(D25&gt;1/1/2001,B24+1," ")</f>
        <v/>
      </c>
      <c r="C25" s="59">
        <f>IF(B25&lt;&gt;" ",CONCATENATE(A25,B25)," ")</f>
        <v/>
      </c>
      <c r="D25" s="75" t="n"/>
      <c r="E25" s="70" t="n"/>
      <c r="F25" s="72" t="n"/>
      <c r="G25" s="72" t="n"/>
      <c r="H25" s="72" t="n"/>
      <c r="I25" s="71" t="n"/>
      <c r="J25" s="71" t="n"/>
      <c r="K25" s="73" t="n"/>
      <c r="L25" s="74" t="n"/>
    </row>
    <row r="26">
      <c r="A26" s="62" t="inlineStr">
        <is>
          <t>P</t>
        </is>
      </c>
      <c r="B26" s="60">
        <f>IF(D26&gt;1/1/2001,B25+1," ")</f>
        <v/>
      </c>
      <c r="C26" s="59">
        <f>IF(B26&lt;&gt;" ",CONCATENATE(A26,B26)," ")</f>
        <v/>
      </c>
      <c r="D26" s="75" t="n"/>
      <c r="E26" s="70" t="n"/>
      <c r="F26" s="72" t="n"/>
      <c r="G26" s="72" t="n"/>
      <c r="H26" s="72" t="n"/>
      <c r="I26" s="71" t="n"/>
      <c r="J26" s="71" t="n"/>
      <c r="K26" s="73" t="n"/>
      <c r="L26" s="74" t="n"/>
    </row>
    <row r="27">
      <c r="A27" s="62" t="inlineStr">
        <is>
          <t>P</t>
        </is>
      </c>
      <c r="B27" s="60">
        <f>IF(D27&gt;1/1/2001,B26+1," ")</f>
        <v/>
      </c>
      <c r="C27" s="59">
        <f>IF(B27&lt;&gt;" ",CONCATENATE(A27,B27)," ")</f>
        <v/>
      </c>
      <c r="D27" s="75" t="n"/>
      <c r="E27" s="70" t="n"/>
      <c r="F27" s="72" t="n"/>
      <c r="G27" s="72" t="n"/>
      <c r="H27" s="72" t="n"/>
      <c r="I27" s="71" t="n"/>
      <c r="J27" s="71" t="n"/>
      <c r="K27" s="73" t="n"/>
      <c r="L27" s="74" t="n"/>
    </row>
    <row r="28">
      <c r="A28" s="62" t="inlineStr">
        <is>
          <t>P</t>
        </is>
      </c>
      <c r="B28" s="60">
        <f>IF(D28&gt;1/1/2001,B27+1," ")</f>
        <v/>
      </c>
      <c r="C28" s="59">
        <f>IF(B28&lt;&gt;" ",CONCATENATE(A28,B28)," ")</f>
        <v/>
      </c>
      <c r="D28" s="75" t="n"/>
      <c r="E28" s="70" t="n"/>
      <c r="F28" s="72" t="n"/>
      <c r="G28" s="72" t="n"/>
      <c r="H28" s="72" t="n"/>
      <c r="I28" s="71" t="n"/>
      <c r="J28" s="71" t="n"/>
      <c r="K28" s="73" t="n"/>
      <c r="L28" s="74" t="n"/>
    </row>
    <row r="29">
      <c r="A29" s="62" t="inlineStr">
        <is>
          <t>P</t>
        </is>
      </c>
      <c r="B29" s="60">
        <f>IF(D29&gt;1/1/2001,B28+1," ")</f>
        <v/>
      </c>
      <c r="C29" s="59">
        <f>IF(B29&lt;&gt;" ",CONCATENATE(A29,B29)," ")</f>
        <v/>
      </c>
      <c r="D29" s="75" t="n"/>
      <c r="E29" s="70" t="n"/>
      <c r="F29" s="72" t="n"/>
      <c r="G29" s="72" t="n"/>
      <c r="H29" s="72" t="n"/>
      <c r="I29" s="71" t="n"/>
      <c r="J29" s="71" t="n"/>
      <c r="K29" s="73" t="n"/>
      <c r="L29" s="74" t="n"/>
    </row>
    <row r="30">
      <c r="A30" s="62" t="inlineStr">
        <is>
          <t>P</t>
        </is>
      </c>
      <c r="B30" s="60">
        <f>IF(D30&gt;1/1/2001,B29+1," ")</f>
        <v/>
      </c>
      <c r="C30" s="59">
        <f>IF(B30&lt;&gt;" ",CONCATENATE(A30,B30)," ")</f>
        <v/>
      </c>
      <c r="D30" s="75" t="n"/>
      <c r="E30" s="70" t="n"/>
      <c r="F30" s="72" t="n"/>
      <c r="G30" s="72" t="n"/>
      <c r="H30" s="72" t="n"/>
      <c r="I30" s="71" t="n"/>
      <c r="J30" s="71" t="n"/>
      <c r="K30" s="73" t="n"/>
      <c r="L30" s="74" t="n"/>
    </row>
    <row r="31">
      <c r="A31" s="62" t="inlineStr">
        <is>
          <t>P</t>
        </is>
      </c>
      <c r="B31" s="60">
        <f>IF(D31&gt;1/1/2001,B30+1," ")</f>
        <v/>
      </c>
      <c r="C31" s="59">
        <f>IF(B31&lt;&gt;" ",CONCATENATE(A31,B31)," ")</f>
        <v/>
      </c>
      <c r="D31" s="75" t="n"/>
      <c r="E31" s="70" t="n"/>
      <c r="F31" s="72" t="n"/>
      <c r="G31" s="72" t="n"/>
      <c r="H31" s="72" t="n"/>
      <c r="I31" s="71" t="n"/>
      <c r="J31" s="71" t="n"/>
      <c r="K31" s="73" t="n"/>
      <c r="L31" s="74" t="n"/>
      <c r="M31" s="62" t="inlineStr">
        <is>
          <t xml:space="preserve"> </t>
        </is>
      </c>
    </row>
    <row r="32">
      <c r="A32" s="62" t="inlineStr">
        <is>
          <t>P</t>
        </is>
      </c>
      <c r="B32" s="60">
        <f>IF(D32&gt;1/1/2001,B31+1," ")</f>
        <v/>
      </c>
      <c r="C32" s="59">
        <f>IF(B32&lt;&gt;" ",CONCATENATE(A32,B32)," ")</f>
        <v/>
      </c>
      <c r="D32" s="69" t="n"/>
      <c r="E32" s="70" t="n"/>
      <c r="F32" s="72" t="n"/>
      <c r="G32" s="72" t="n"/>
      <c r="H32" s="72" t="n"/>
      <c r="I32" s="71" t="n"/>
      <c r="J32" s="71" t="n"/>
      <c r="K32" s="73" t="n"/>
      <c r="L32" s="74" t="n"/>
    </row>
    <row r="33">
      <c r="A33" s="62" t="inlineStr">
        <is>
          <t>P</t>
        </is>
      </c>
      <c r="B33" s="60">
        <f>IF(D33&gt;1/1/2001,B32+1," ")</f>
        <v/>
      </c>
      <c r="C33" s="59">
        <f>IF(B33&lt;&gt;" ",CONCATENATE(A33,B33)," ")</f>
        <v/>
      </c>
      <c r="D33" s="69" t="n"/>
      <c r="E33" s="70" t="n"/>
      <c r="F33" s="72" t="n"/>
      <c r="G33" s="72" t="n"/>
      <c r="H33" s="72" t="n"/>
      <c r="I33" s="72" t="n"/>
      <c r="J33" s="71" t="n"/>
      <c r="K33" s="73" t="n"/>
    </row>
    <row r="34">
      <c r="A34" s="62" t="inlineStr">
        <is>
          <t>P</t>
        </is>
      </c>
      <c r="B34" s="60">
        <f>IF(D34&gt;1/1/2001,B33+1," ")</f>
        <v/>
      </c>
      <c r="C34" s="59">
        <f>IF(B34&lt;&gt;" ",CONCATENATE(A34,B34)," ")</f>
        <v/>
      </c>
      <c r="D34" s="69" t="n"/>
      <c r="E34" s="70" t="n"/>
      <c r="F34" s="72" t="n"/>
      <c r="G34" s="72" t="n"/>
      <c r="H34" s="72" t="n"/>
      <c r="I34" s="72" t="n"/>
      <c r="J34" s="71" t="n"/>
      <c r="K34" s="73" t="n"/>
    </row>
    <row r="35">
      <c r="A35" s="62" t="inlineStr">
        <is>
          <t>P</t>
        </is>
      </c>
      <c r="B35" s="60">
        <f>IF(D35&gt;1/1/2001,B34+1," ")</f>
        <v/>
      </c>
      <c r="C35" s="59">
        <f>IF(B35&lt;&gt;" ",CONCATENATE(A35,B35)," ")</f>
        <v/>
      </c>
      <c r="D35" s="69" t="n"/>
      <c r="E35" s="70" t="n"/>
      <c r="F35" s="72" t="n"/>
      <c r="G35" s="72" t="n"/>
      <c r="H35" s="72" t="n"/>
      <c r="I35" s="72" t="n"/>
      <c r="J35" s="71" t="n"/>
      <c r="K35" s="73" t="n"/>
    </row>
    <row r="36">
      <c r="A36" s="62" t="inlineStr">
        <is>
          <t>P</t>
        </is>
      </c>
      <c r="B36" s="60">
        <f>IF(D36&gt;1/1/2001,B35+1," ")</f>
        <v/>
      </c>
      <c r="C36" s="59">
        <f>IF(B36&lt;&gt;" ",CONCATENATE(A36,B36)," ")</f>
        <v/>
      </c>
      <c r="D36" s="69" t="n"/>
      <c r="E36" s="70" t="n"/>
      <c r="F36" s="72" t="n"/>
      <c r="G36" s="72" t="n"/>
      <c r="H36" s="72" t="n"/>
      <c r="I36" s="72" t="n"/>
      <c r="J36" s="71" t="n"/>
      <c r="K36" s="73" t="n"/>
    </row>
    <row r="37">
      <c r="A37" s="62" t="inlineStr">
        <is>
          <t>P</t>
        </is>
      </c>
      <c r="B37" s="60">
        <f>IF(D37&gt;1/1/2001,B36+1," ")</f>
        <v/>
      </c>
      <c r="C37" s="59">
        <f>IF(B37&lt;&gt;" ",CONCATENATE(A37,B37)," ")</f>
        <v/>
      </c>
      <c r="D37" s="69" t="n"/>
      <c r="E37" s="70" t="n"/>
      <c r="F37" s="72" t="n"/>
      <c r="G37" s="72" t="n"/>
      <c r="H37" s="72" t="n"/>
      <c r="I37" s="72" t="n"/>
      <c r="J37" s="71" t="n"/>
      <c r="K37" s="73" t="n"/>
      <c r="L37" s="74" t="n"/>
    </row>
    <row r="38">
      <c r="A38" s="62" t="inlineStr">
        <is>
          <t>P</t>
        </is>
      </c>
      <c r="B38" s="60">
        <f>IF(D38&gt;1/1/2001,B37+1," ")</f>
        <v/>
      </c>
      <c r="C38" s="59">
        <f>IF(B38&lt;&gt;" ",CONCATENATE(A38,B38)," ")</f>
        <v/>
      </c>
      <c r="D38" s="69" t="n"/>
      <c r="E38" s="70" t="n"/>
      <c r="F38" s="72" t="n"/>
      <c r="G38" s="72" t="n"/>
      <c r="H38" s="72" t="n"/>
      <c r="I38" s="72" t="n"/>
      <c r="J38" s="71" t="n"/>
      <c r="K38" s="73" t="n"/>
      <c r="L38" s="74" t="n"/>
    </row>
    <row r="39">
      <c r="A39" s="62" t="inlineStr">
        <is>
          <t>P</t>
        </is>
      </c>
      <c r="B39" s="60">
        <f>IF(D39&gt;1/1/2001,B38+1," ")</f>
        <v/>
      </c>
      <c r="C39" s="59">
        <f>IF(B39&lt;&gt;" ",CONCATENATE(A39,B39)," ")</f>
        <v/>
      </c>
      <c r="D39" s="69" t="n"/>
      <c r="E39" s="70" t="n"/>
      <c r="F39" s="72" t="n"/>
      <c r="G39" s="72" t="n"/>
      <c r="H39" s="72" t="n"/>
      <c r="I39" s="72" t="n"/>
      <c r="J39" s="71" t="n"/>
      <c r="K39" s="73" t="n"/>
      <c r="L39" s="74" t="n"/>
    </row>
    <row r="40">
      <c r="A40" s="62" t="inlineStr">
        <is>
          <t>P</t>
        </is>
      </c>
      <c r="B40" s="60">
        <f>IF(D40&gt;1/1/2001,B39+1," ")</f>
        <v/>
      </c>
      <c r="C40" s="59">
        <f>IF(B40&lt;&gt;" ",CONCATENATE(A40,B40)," ")</f>
        <v/>
      </c>
      <c r="D40" s="69" t="n"/>
      <c r="E40" s="70" t="n"/>
      <c r="F40" s="72" t="n"/>
      <c r="G40" s="72" t="n"/>
      <c r="H40" s="72" t="n"/>
      <c r="I40" s="72" t="n"/>
      <c r="J40" s="71" t="n"/>
      <c r="K40" s="73" t="n"/>
      <c r="L40" s="74" t="n"/>
    </row>
    <row r="41">
      <c r="A41" s="62" t="inlineStr">
        <is>
          <t>P</t>
        </is>
      </c>
      <c r="B41" s="60">
        <f>IF(D41&gt;1/1/2001,B40+1," ")</f>
        <v/>
      </c>
      <c r="C41" s="59">
        <f>IF(B41&lt;&gt;" ",CONCATENATE(A41,B41)," ")</f>
        <v/>
      </c>
      <c r="D41" s="69" t="n"/>
      <c r="E41" s="70" t="n"/>
      <c r="F41" s="72" t="n"/>
      <c r="G41" s="72" t="n"/>
      <c r="H41" s="72" t="n"/>
      <c r="I41" s="72" t="n"/>
      <c r="J41" s="71" t="n"/>
      <c r="K41" s="73" t="n"/>
      <c r="L41" s="74" t="n"/>
    </row>
    <row r="42">
      <c r="A42" s="62" t="inlineStr">
        <is>
          <t>P</t>
        </is>
      </c>
      <c r="B42" s="60">
        <f>IF(D42&gt;1/1/2001,B41+1," ")</f>
        <v/>
      </c>
      <c r="C42" s="59">
        <f>IF(B42&lt;&gt;" ",CONCATENATE(A42,B42)," ")</f>
        <v/>
      </c>
      <c r="D42" s="69" t="n"/>
      <c r="E42" s="70" t="n"/>
      <c r="F42" s="72" t="n"/>
      <c r="G42" s="72" t="n"/>
      <c r="H42" s="72" t="n"/>
      <c r="I42" s="72" t="n"/>
      <c r="J42" s="71" t="n"/>
      <c r="K42" s="73" t="n"/>
    </row>
    <row r="43">
      <c r="A43" s="62" t="inlineStr">
        <is>
          <t>P</t>
        </is>
      </c>
      <c r="B43" s="60">
        <f>IF(D43&gt;1/1/2001,B42+1," ")</f>
        <v/>
      </c>
      <c r="C43" s="59">
        <f>IF(B43&lt;&gt;" ",CONCATENATE(A43,B43)," ")</f>
        <v/>
      </c>
      <c r="D43" s="69" t="n"/>
      <c r="E43" s="70" t="n"/>
      <c r="F43" s="72" t="n"/>
      <c r="G43" s="72" t="n"/>
      <c r="H43" s="72" t="n"/>
      <c r="I43" s="72" t="n"/>
      <c r="J43" s="71" t="n"/>
      <c r="K43" s="73" t="n"/>
      <c r="L43" s="74" t="n"/>
    </row>
    <row r="44">
      <c r="A44" s="62" t="inlineStr">
        <is>
          <t>P</t>
        </is>
      </c>
      <c r="B44" s="60">
        <f>IF(D44&gt;1/1/2001,B43+1," ")</f>
        <v/>
      </c>
      <c r="C44" s="59">
        <f>IF(B44&lt;&gt;" ",CONCATENATE(A44,B44)," ")</f>
        <v/>
      </c>
      <c r="D44" s="69" t="n"/>
      <c r="E44" s="70" t="n"/>
      <c r="F44" s="72" t="n"/>
      <c r="G44" s="72" t="n"/>
      <c r="H44" s="72" t="n"/>
      <c r="I44" s="72" t="n"/>
      <c r="J44" s="71" t="n"/>
      <c r="K44" s="73" t="n"/>
    </row>
    <row r="45">
      <c r="A45" s="62" t="inlineStr">
        <is>
          <t>P</t>
        </is>
      </c>
      <c r="B45" s="60">
        <f>IF(D45&gt;1/1/2001,B44+1," ")</f>
        <v/>
      </c>
      <c r="C45" s="59">
        <f>IF(B45&lt;&gt;" ",CONCATENATE(A45,B45)," ")</f>
        <v/>
      </c>
      <c r="D45" s="69" t="n"/>
      <c r="E45" s="70" t="n"/>
      <c r="F45" s="72" t="n"/>
      <c r="G45" s="72" t="n"/>
      <c r="H45" s="72" t="n"/>
      <c r="I45" s="72" t="n"/>
      <c r="J45" s="71" t="n"/>
      <c r="K45" s="73" t="n"/>
    </row>
    <row r="46">
      <c r="A46" s="62" t="inlineStr">
        <is>
          <t>P</t>
        </is>
      </c>
      <c r="B46" s="60">
        <f>IF(D46&gt;1/1/2001,B45+1," ")</f>
        <v/>
      </c>
      <c r="C46" s="59">
        <f>IF(B46&lt;&gt;" ",CONCATENATE(A46,B46)," ")</f>
        <v/>
      </c>
      <c r="D46" s="69" t="n"/>
      <c r="E46" s="70" t="n"/>
      <c r="F46" s="72" t="n"/>
      <c r="G46" s="72" t="n"/>
      <c r="H46" s="72" t="n"/>
      <c r="I46" s="72" t="n"/>
      <c r="J46" s="71" t="n"/>
      <c r="K46" s="73" t="n"/>
    </row>
    <row r="47">
      <c r="A47" s="62" t="inlineStr">
        <is>
          <t>P</t>
        </is>
      </c>
      <c r="B47" s="60">
        <f>IF(D47&gt;1/1/2001,B46+1," ")</f>
        <v/>
      </c>
      <c r="C47" s="59">
        <f>IF(B47&lt;&gt;" ",CONCATENATE(A47,B47)," ")</f>
        <v/>
      </c>
      <c r="D47" s="69" t="n"/>
      <c r="E47" s="70" t="n"/>
      <c r="F47" s="72" t="n"/>
      <c r="G47" s="72" t="n"/>
      <c r="H47" s="72" t="n"/>
      <c r="I47" s="72" t="n"/>
      <c r="J47" s="71" t="n"/>
      <c r="K47" s="73" t="n"/>
    </row>
    <row r="48">
      <c r="A48" s="62" t="inlineStr">
        <is>
          <t>P</t>
        </is>
      </c>
      <c r="B48" s="60">
        <f>IF(D48&gt;1/1/2001,B47+1," ")</f>
        <v/>
      </c>
      <c r="C48" s="59">
        <f>IF(B48&lt;&gt;" ",CONCATENATE(A48,B48)," ")</f>
        <v/>
      </c>
      <c r="D48" s="69" t="n"/>
      <c r="E48" s="70" t="n"/>
      <c r="F48" s="72" t="n"/>
      <c r="G48" s="72" t="n"/>
      <c r="H48" s="72" t="n"/>
      <c r="I48" s="72" t="n"/>
      <c r="J48" s="71" t="n"/>
      <c r="K48" s="73" t="n"/>
    </row>
    <row r="49">
      <c r="A49" s="62" t="inlineStr">
        <is>
          <t>P</t>
        </is>
      </c>
      <c r="B49" s="60">
        <f>IF(D49&gt;1/1/2001,B48+1," ")</f>
        <v/>
      </c>
      <c r="C49" s="59">
        <f>IF(B49&lt;&gt;" ",CONCATENATE(A49,B49)," ")</f>
        <v/>
      </c>
      <c r="D49" s="69" t="n"/>
      <c r="E49" s="70" t="n"/>
      <c r="F49" s="72" t="n"/>
      <c r="G49" s="72" t="n"/>
      <c r="H49" s="72" t="n"/>
      <c r="I49" s="72" t="n"/>
      <c r="J49" s="71" t="n"/>
      <c r="K49" s="73" t="n"/>
    </row>
    <row r="50">
      <c r="A50" s="62" t="inlineStr">
        <is>
          <t>P</t>
        </is>
      </c>
      <c r="B50" s="60">
        <f>IF(D50&gt;1/1/2001,B49+1," ")</f>
        <v/>
      </c>
      <c r="C50" s="59">
        <f>IF(B50&lt;&gt;" ",CONCATENATE(A50,B50)," ")</f>
        <v/>
      </c>
      <c r="D50" s="69" t="n"/>
      <c r="E50" s="70" t="n"/>
      <c r="F50" s="72" t="n"/>
      <c r="G50" s="72" t="n"/>
      <c r="H50" s="72" t="n"/>
      <c r="I50" s="72" t="n"/>
      <c r="J50" s="71" t="n"/>
      <c r="K50" s="73" t="n"/>
    </row>
    <row r="51">
      <c r="A51" s="62" t="inlineStr">
        <is>
          <t>P</t>
        </is>
      </c>
      <c r="B51" s="60">
        <f>IF(D51&gt;1/1/2001,B50+1," ")</f>
        <v/>
      </c>
      <c r="C51" s="59">
        <f>IF(B51&lt;&gt;" ",CONCATENATE(A51,B51)," ")</f>
        <v/>
      </c>
      <c r="D51" s="69" t="n"/>
      <c r="E51" s="70" t="n"/>
      <c r="F51" s="72" t="n"/>
      <c r="G51" s="72" t="n"/>
      <c r="H51" s="72" t="n"/>
      <c r="I51" s="72" t="n"/>
      <c r="J51" s="71" t="n"/>
      <c r="K51" s="73" t="n"/>
    </row>
    <row r="52">
      <c r="A52" s="62" t="inlineStr">
        <is>
          <t>P</t>
        </is>
      </c>
      <c r="B52" s="60">
        <f>IF(D52&gt;1/1/2001,B51+1," ")</f>
        <v/>
      </c>
      <c r="C52" s="59">
        <f>IF(B52&lt;&gt;" ",CONCATENATE(A52,B52)," ")</f>
        <v/>
      </c>
      <c r="D52" s="69" t="n"/>
      <c r="E52" s="70" t="n"/>
      <c r="F52" s="72" t="n"/>
      <c r="G52" s="72" t="n"/>
      <c r="H52" s="72" t="n"/>
      <c r="I52" s="72" t="n"/>
      <c r="J52" s="71" t="n"/>
      <c r="K52" s="73" t="n"/>
    </row>
    <row r="53">
      <c r="A53" s="62" t="inlineStr">
        <is>
          <t>P</t>
        </is>
      </c>
      <c r="B53" s="60">
        <f>IF(D53&gt;1/1/2001,B52+1," ")</f>
        <v/>
      </c>
      <c r="C53" s="59">
        <f>IF(B53&lt;&gt;" ",CONCATENATE(A53,B53)," ")</f>
        <v/>
      </c>
      <c r="D53" s="69" t="n"/>
      <c r="E53" s="70" t="n"/>
      <c r="F53" s="72" t="n"/>
      <c r="G53" s="72" t="n"/>
      <c r="H53" s="72" t="n"/>
      <c r="I53" s="72" t="n"/>
      <c r="J53" s="71" t="n"/>
      <c r="K53" s="73" t="n"/>
    </row>
    <row r="54">
      <c r="A54" s="62" t="inlineStr">
        <is>
          <t>P</t>
        </is>
      </c>
      <c r="B54" s="60">
        <f>IF(D54&gt;1/1/2001,B53+1," ")</f>
        <v/>
      </c>
      <c r="C54" s="59">
        <f>IF(B54&lt;&gt;" ",CONCATENATE(A54,B54)," ")</f>
        <v/>
      </c>
      <c r="D54" s="69" t="n"/>
      <c r="E54" s="70" t="n"/>
      <c r="F54" s="72" t="n"/>
      <c r="G54" s="72" t="n"/>
      <c r="H54" s="72" t="n"/>
      <c r="I54" s="72" t="n"/>
      <c r="J54" s="71" t="n"/>
      <c r="K54" s="73" t="n"/>
    </row>
    <row r="55">
      <c r="A55" s="62" t="inlineStr">
        <is>
          <t>P</t>
        </is>
      </c>
      <c r="B55" s="60">
        <f>IF(D55&gt;1/1/2001,B54+1," ")</f>
        <v/>
      </c>
      <c r="C55" s="59">
        <f>IF(B55&lt;&gt;" ",CONCATENATE(A55,B55)," ")</f>
        <v/>
      </c>
      <c r="D55" s="69" t="n"/>
      <c r="E55" s="70" t="n"/>
      <c r="F55" s="72" t="n"/>
      <c r="G55" s="72" t="n"/>
      <c r="H55" s="72" t="n"/>
      <c r="I55" s="72" t="n"/>
      <c r="J55" s="71" t="n"/>
      <c r="K55" s="73" t="n"/>
    </row>
    <row r="56">
      <c r="A56" s="62" t="inlineStr">
        <is>
          <t>P</t>
        </is>
      </c>
      <c r="B56" s="60">
        <f>IF(D56&gt;1/1/2001,B55+1," ")</f>
        <v/>
      </c>
      <c r="C56" s="59">
        <f>IF(B56&lt;&gt;" ",CONCATENATE(A56,B56)," ")</f>
        <v/>
      </c>
      <c r="D56" s="69" t="n"/>
      <c r="E56" s="70" t="n"/>
      <c r="F56" s="72" t="n"/>
      <c r="G56" s="72" t="n"/>
      <c r="H56" s="72" t="n"/>
      <c r="I56" s="72" t="n"/>
      <c r="J56" s="71" t="n"/>
      <c r="K56" s="73" t="n"/>
    </row>
    <row r="57">
      <c r="A57" s="62" t="inlineStr">
        <is>
          <t>P</t>
        </is>
      </c>
      <c r="B57" s="60">
        <f>IF(D57&gt;1/1/2001,B56+1," ")</f>
        <v/>
      </c>
      <c r="C57" s="59">
        <f>IF(B57&lt;&gt;" ",CONCATENATE(A57,B57)," ")</f>
        <v/>
      </c>
      <c r="D57" s="69" t="n"/>
      <c r="E57" s="70" t="n"/>
      <c r="F57" s="72" t="n"/>
      <c r="G57" s="72" t="n"/>
      <c r="H57" s="72" t="n"/>
      <c r="I57" s="72" t="n"/>
      <c r="J57" s="71" t="n"/>
      <c r="K57" s="73" t="n"/>
    </row>
    <row r="58">
      <c r="A58" s="62" t="inlineStr">
        <is>
          <t>P</t>
        </is>
      </c>
      <c r="B58" s="60">
        <f>IF(D58&gt;1/1/2001,B57+1," ")</f>
        <v/>
      </c>
      <c r="C58" s="59">
        <f>IF(B58&lt;&gt;" ",CONCATENATE(A58,B58)," ")</f>
        <v/>
      </c>
      <c r="D58" s="69" t="n"/>
      <c r="E58" s="70" t="n"/>
      <c r="F58" s="72" t="n"/>
      <c r="G58" s="72" t="n"/>
      <c r="H58" s="72" t="n"/>
      <c r="I58" s="72" t="n"/>
      <c r="J58" s="71" t="n"/>
      <c r="K58" s="73" t="n"/>
    </row>
    <row r="59">
      <c r="A59" s="62" t="inlineStr">
        <is>
          <t>P</t>
        </is>
      </c>
      <c r="B59" s="60">
        <f>IF(D59&gt;1/1/2001,B58+1," ")</f>
        <v/>
      </c>
      <c r="C59" s="59">
        <f>IF(B59&lt;&gt;" ",CONCATENATE(A59,B59)," ")</f>
        <v/>
      </c>
      <c r="D59" s="69" t="n"/>
      <c r="E59" s="70" t="n"/>
      <c r="F59" s="72" t="n"/>
      <c r="G59" s="72" t="n"/>
      <c r="H59" s="72" t="n"/>
      <c r="I59" s="72" t="n"/>
      <c r="J59" s="71" t="n"/>
      <c r="K59" s="73" t="n"/>
    </row>
    <row r="60">
      <c r="A60" s="62" t="inlineStr">
        <is>
          <t>P</t>
        </is>
      </c>
      <c r="B60" s="60">
        <f>IF(D60&gt;1/1/2001,B59+1," ")</f>
        <v/>
      </c>
      <c r="C60" s="59">
        <f>IF(B60&lt;&gt;" ",CONCATENATE(A60,B60)," ")</f>
        <v/>
      </c>
      <c r="D60" s="69" t="n"/>
      <c r="E60" s="70" t="n"/>
      <c r="F60" s="72" t="n"/>
      <c r="G60" s="72" t="n"/>
      <c r="H60" s="72" t="n"/>
      <c r="I60" s="72" t="n"/>
      <c r="J60" s="71" t="n"/>
      <c r="K60" s="73" t="n"/>
    </row>
    <row r="61">
      <c r="A61" s="62" t="inlineStr">
        <is>
          <t>P</t>
        </is>
      </c>
      <c r="B61" s="60">
        <f>IF(D61&gt;1/1/2001,B60+1," ")</f>
        <v/>
      </c>
      <c r="C61" s="59">
        <f>IF(B61&lt;&gt;" ",CONCATENATE(A61,B61)," ")</f>
        <v/>
      </c>
      <c r="D61" s="69" t="n"/>
      <c r="E61" s="70" t="n"/>
      <c r="F61" s="72" t="n"/>
      <c r="G61" s="72" t="n"/>
      <c r="H61" s="72" t="n"/>
      <c r="I61" s="72" t="n"/>
      <c r="J61" s="71" t="n"/>
      <c r="K61" s="73" t="n"/>
    </row>
    <row r="62">
      <c r="A62" s="62" t="inlineStr">
        <is>
          <t>P</t>
        </is>
      </c>
      <c r="B62" s="60">
        <f>IF(D62&gt;1/1/2001,B61+1," ")</f>
        <v/>
      </c>
      <c r="C62" s="59">
        <f>IF(B62&lt;&gt;" ",CONCATENATE(A62,B62)," ")</f>
        <v/>
      </c>
      <c r="D62" s="69" t="n"/>
      <c r="E62" s="70" t="n"/>
      <c r="F62" s="72" t="n"/>
      <c r="G62" s="72" t="n"/>
      <c r="H62" s="72" t="n"/>
      <c r="I62" s="72" t="n"/>
      <c r="J62" s="71" t="n"/>
      <c r="K62" s="73" t="n"/>
    </row>
    <row r="63">
      <c r="A63" s="62" t="inlineStr">
        <is>
          <t>P</t>
        </is>
      </c>
      <c r="B63" s="60">
        <f>IF(D63&gt;1/1/2001,B62+1," ")</f>
        <v/>
      </c>
      <c r="C63" s="59">
        <f>IF(B63&lt;&gt;" ",CONCATENATE(A63,B63)," ")</f>
        <v/>
      </c>
      <c r="D63" s="69" t="n"/>
      <c r="E63" s="72" t="n"/>
      <c r="F63" s="72" t="n"/>
      <c r="G63" s="72" t="n"/>
      <c r="H63" s="72" t="n"/>
      <c r="I63" s="72" t="n"/>
      <c r="J63" s="71" t="n"/>
      <c r="K63" s="73" t="n"/>
    </row>
    <row r="64">
      <c r="A64" s="62" t="inlineStr">
        <is>
          <t>P</t>
        </is>
      </c>
      <c r="B64" s="60">
        <f>IF(D64&gt;1/1/2001,B63+1," ")</f>
        <v/>
      </c>
      <c r="C64" s="59">
        <f>IF(B64&lt;&gt;" ",CONCATENATE(A64,B64)," ")</f>
        <v/>
      </c>
      <c r="D64" s="69" t="n"/>
      <c r="E64" s="72" t="n"/>
      <c r="F64" s="72" t="n"/>
      <c r="G64" s="72" t="n"/>
      <c r="H64" s="72" t="n"/>
      <c r="I64" s="72" t="n"/>
      <c r="J64" s="71" t="n"/>
      <c r="K64" s="73" t="n"/>
    </row>
    <row r="65">
      <c r="A65" s="62" t="inlineStr">
        <is>
          <t>P</t>
        </is>
      </c>
      <c r="B65" s="60">
        <f>IF(D65&gt;1/1/2001,B64+1," ")</f>
        <v/>
      </c>
      <c r="C65" s="59">
        <f>IF(B65&lt;&gt;" ",CONCATENATE(A65,B65)," ")</f>
        <v/>
      </c>
      <c r="D65" s="69" t="n"/>
      <c r="E65" s="72" t="n"/>
      <c r="F65" s="72" t="n"/>
      <c r="G65" s="72" t="n"/>
      <c r="H65" s="72" t="n"/>
      <c r="I65" s="72" t="n"/>
      <c r="J65" s="71" t="n"/>
      <c r="K65" s="73" t="n"/>
    </row>
    <row r="66">
      <c r="A66" s="62" t="inlineStr">
        <is>
          <t>P</t>
        </is>
      </c>
      <c r="B66" s="60">
        <f>IF(D66&gt;1/1/2001,B65+1," ")</f>
        <v/>
      </c>
      <c r="C66" s="59">
        <f>IF(B66&lt;&gt;" ",CONCATENATE(A66,B66)," ")</f>
        <v/>
      </c>
      <c r="D66" s="69" t="n"/>
      <c r="E66" s="72" t="n"/>
      <c r="F66" s="72" t="n"/>
      <c r="G66" s="72" t="n"/>
      <c r="H66" s="72" t="n"/>
      <c r="I66" s="72" t="n"/>
      <c r="J66" s="71" t="n"/>
      <c r="K66" s="73" t="n"/>
    </row>
    <row r="67">
      <c r="A67" s="62" t="inlineStr">
        <is>
          <t>P</t>
        </is>
      </c>
      <c r="B67" s="60">
        <f>IF(D67&gt;1/1/2001,B66+1," ")</f>
        <v/>
      </c>
      <c r="C67" s="59">
        <f>IF(B67&lt;&gt;" ",CONCATENATE(A67,B67)," ")</f>
        <v/>
      </c>
      <c r="D67" s="69" t="n"/>
      <c r="E67" s="72" t="n"/>
      <c r="F67" s="72" t="n"/>
      <c r="G67" s="72" t="n"/>
      <c r="H67" s="72" t="n"/>
      <c r="I67" s="72" t="n"/>
      <c r="J67" s="71" t="n"/>
      <c r="K67" s="73" t="n"/>
    </row>
    <row r="68">
      <c r="A68" s="62" t="inlineStr">
        <is>
          <t>P</t>
        </is>
      </c>
      <c r="B68" s="60">
        <f>IF(D68&gt;1/1/2001,B67+1," ")</f>
        <v/>
      </c>
      <c r="C68" s="59">
        <f>IF(B68&lt;&gt;" ",CONCATENATE(A68,B68)," ")</f>
        <v/>
      </c>
      <c r="D68" s="69" t="n"/>
      <c r="E68" s="72" t="n"/>
      <c r="F68" s="72" t="n"/>
      <c r="G68" s="72" t="n"/>
      <c r="H68" s="72" t="n"/>
      <c r="I68" s="72" t="n"/>
      <c r="J68" s="71" t="n"/>
      <c r="K68" s="73" t="n"/>
    </row>
    <row r="69">
      <c r="A69" s="62" t="inlineStr">
        <is>
          <t>P</t>
        </is>
      </c>
      <c r="B69" s="60">
        <f>IF(D69&gt;1/1/2001,B68+1," ")</f>
        <v/>
      </c>
      <c r="C69" s="59">
        <f>IF(B69&lt;&gt;" ",CONCATENATE(A69,B69)," ")</f>
        <v/>
      </c>
      <c r="D69" s="69" t="n"/>
      <c r="E69" s="72" t="n"/>
      <c r="F69" s="72" t="n"/>
      <c r="G69" s="72" t="n"/>
      <c r="H69" s="72" t="n"/>
      <c r="I69" s="72" t="n"/>
      <c r="J69" s="71" t="n"/>
      <c r="K69" s="73" t="n"/>
    </row>
    <row r="70">
      <c r="A70" s="62" t="inlineStr">
        <is>
          <t>P</t>
        </is>
      </c>
      <c r="B70" s="60">
        <f>IF(D70&gt;1/1/2001,B69+1," ")</f>
        <v/>
      </c>
      <c r="C70" s="59">
        <f>IF(B70&lt;&gt;" ",CONCATENATE(A70,B70)," ")</f>
        <v/>
      </c>
      <c r="D70" s="69" t="n"/>
      <c r="E70" s="72" t="n"/>
      <c r="F70" s="72" t="n"/>
      <c r="G70" s="72" t="n"/>
      <c r="H70" s="72" t="n"/>
      <c r="I70" s="72" t="n"/>
      <c r="J70" s="71" t="n"/>
      <c r="K70" s="73" t="n"/>
    </row>
    <row r="71">
      <c r="A71" s="62" t="inlineStr">
        <is>
          <t>P</t>
        </is>
      </c>
      <c r="B71" s="60">
        <f>IF(D71&gt;1/1/2001,B70+1," ")</f>
        <v/>
      </c>
      <c r="C71" s="59">
        <f>IF(B71&lt;&gt;" ",CONCATENATE(A71,B71)," ")</f>
        <v/>
      </c>
      <c r="D71" s="69" t="n"/>
      <c r="E71" s="72" t="n"/>
      <c r="F71" s="72" t="n"/>
      <c r="G71" s="72" t="n"/>
      <c r="H71" s="72" t="n"/>
      <c r="I71" s="72" t="n"/>
      <c r="J71" s="71" t="n"/>
      <c r="K71" s="73" t="n"/>
    </row>
    <row r="72">
      <c r="A72" s="62" t="inlineStr">
        <is>
          <t>P</t>
        </is>
      </c>
      <c r="B72" s="60">
        <f>IF(D72&gt;1/1/2001,B71+1," ")</f>
        <v/>
      </c>
      <c r="C72" s="59">
        <f>IF(B72&lt;&gt;" ",CONCATENATE(A72,B72)," ")</f>
        <v/>
      </c>
      <c r="D72" s="69" t="n"/>
      <c r="E72" s="72" t="n"/>
      <c r="F72" s="72" t="n"/>
      <c r="G72" s="72" t="n"/>
      <c r="H72" s="72" t="n"/>
      <c r="I72" s="72" t="n"/>
      <c r="J72" s="71" t="n"/>
      <c r="K72" s="73" t="n"/>
    </row>
    <row r="73">
      <c r="A73" s="62" t="inlineStr">
        <is>
          <t>P</t>
        </is>
      </c>
      <c r="B73" s="60">
        <f>IF(D73&gt;1/1/2001,B72+1," ")</f>
        <v/>
      </c>
      <c r="C73" s="59">
        <f>IF(B73&lt;&gt;" ",CONCATENATE(A73,B73)," ")</f>
        <v/>
      </c>
      <c r="D73" s="69" t="n"/>
      <c r="E73" s="72" t="n"/>
      <c r="F73" s="72" t="n"/>
      <c r="G73" s="72" t="n"/>
      <c r="H73" s="72" t="n"/>
      <c r="I73" s="72" t="n"/>
      <c r="J73" s="71" t="n"/>
      <c r="K73" s="73" t="n"/>
    </row>
    <row r="74">
      <c r="A74" s="62" t="inlineStr">
        <is>
          <t>P</t>
        </is>
      </c>
      <c r="B74" s="60">
        <f>IF(D74&gt;1/1/2001,B73+1," ")</f>
        <v/>
      </c>
      <c r="C74" s="59">
        <f>IF(B74&lt;&gt;" ",CONCATENATE(A74,B74)," ")</f>
        <v/>
      </c>
      <c r="D74" s="69" t="n"/>
      <c r="E74" s="72" t="n"/>
      <c r="F74" s="72" t="n"/>
      <c r="G74" s="72" t="n"/>
      <c r="H74" s="72" t="n"/>
      <c r="I74" s="72" t="n"/>
      <c r="J74" s="71" t="n"/>
      <c r="K74" s="73" t="n"/>
    </row>
    <row r="75">
      <c r="A75" s="62" t="inlineStr">
        <is>
          <t>P</t>
        </is>
      </c>
      <c r="B75" s="60">
        <f>IF(D75&gt;1/1/2001,B74+1," ")</f>
        <v/>
      </c>
      <c r="C75" s="59">
        <f>IF(B75&lt;&gt;" ",CONCATENATE(A75,B75)," ")</f>
        <v/>
      </c>
      <c r="D75" s="69" t="n"/>
      <c r="E75" s="72" t="n"/>
      <c r="F75" s="72" t="n"/>
      <c r="G75" s="72" t="n"/>
      <c r="H75" s="72" t="n"/>
      <c r="I75" s="72" t="n"/>
      <c r="J75" s="71" t="n"/>
      <c r="K75" s="73" t="n"/>
    </row>
    <row r="76">
      <c r="A76" s="62" t="inlineStr">
        <is>
          <t>P</t>
        </is>
      </c>
      <c r="B76" s="60">
        <f>IF(D76&gt;1/1/2001,B75+1," ")</f>
        <v/>
      </c>
      <c r="C76" s="59">
        <f>IF(B76&lt;&gt;" ",CONCATENATE(A76,B76)," ")</f>
        <v/>
      </c>
      <c r="D76" s="69" t="n"/>
      <c r="E76" s="72" t="n"/>
      <c r="F76" s="72" t="n"/>
      <c r="G76" s="72" t="n"/>
      <c r="H76" s="72" t="n"/>
      <c r="I76" s="72" t="n"/>
      <c r="J76" s="71" t="n"/>
      <c r="K76" s="73" t="n"/>
    </row>
    <row r="77">
      <c r="A77" s="62" t="inlineStr">
        <is>
          <t>P</t>
        </is>
      </c>
      <c r="B77" s="60">
        <f>IF(D77&gt;1/1/2001,B76+1," ")</f>
        <v/>
      </c>
      <c r="C77" s="59">
        <f>IF(B77&lt;&gt;" ",CONCATENATE(A77,B77)," ")</f>
        <v/>
      </c>
      <c r="D77" s="69" t="n"/>
      <c r="E77" s="72" t="n"/>
      <c r="F77" s="72" t="n"/>
      <c r="G77" s="72" t="n"/>
      <c r="H77" s="72" t="n"/>
      <c r="I77" s="72" t="n"/>
      <c r="J77" s="71" t="n"/>
      <c r="K77" s="73" t="n"/>
    </row>
    <row r="78">
      <c r="A78" s="62" t="inlineStr">
        <is>
          <t>P</t>
        </is>
      </c>
      <c r="B78" s="60">
        <f>IF(D78&gt;1/1/2001,B77+1," ")</f>
        <v/>
      </c>
      <c r="C78" s="59">
        <f>IF(B78&lt;&gt;" ",CONCATENATE(A78,B78)," ")</f>
        <v/>
      </c>
      <c r="D78" s="69" t="n"/>
      <c r="E78" s="72" t="n"/>
      <c r="F78" s="72" t="n"/>
      <c r="G78" s="72" t="n"/>
      <c r="H78" s="72" t="n"/>
      <c r="I78" s="72" t="n"/>
      <c r="J78" s="71" t="n"/>
      <c r="K78" s="73" t="n"/>
    </row>
    <row r="79">
      <c r="A79" s="62" t="inlineStr">
        <is>
          <t>P</t>
        </is>
      </c>
      <c r="B79" s="60">
        <f>IF(D79&gt;1/1/2001,B78+1," ")</f>
        <v/>
      </c>
      <c r="C79" s="59">
        <f>IF(B79&lt;&gt;" ",CONCATENATE(A79,B79)," ")</f>
        <v/>
      </c>
      <c r="D79" s="69" t="n"/>
      <c r="E79" s="72" t="n"/>
      <c r="F79" s="72" t="n"/>
      <c r="G79" s="72" t="n"/>
      <c r="H79" s="72" t="n"/>
      <c r="I79" s="72" t="n"/>
      <c r="J79" s="71" t="n"/>
      <c r="K79" s="73" t="n"/>
    </row>
    <row r="80">
      <c r="A80" s="62" t="inlineStr">
        <is>
          <t>P</t>
        </is>
      </c>
      <c r="B80" s="60">
        <f>IF(D80&gt;1/1/2001,B79+1," ")</f>
        <v/>
      </c>
      <c r="C80" s="59">
        <f>IF(B80&lt;&gt;" ",CONCATENATE(A80,B80)," ")</f>
        <v/>
      </c>
      <c r="D80" s="69" t="n"/>
      <c r="E80" s="72" t="n"/>
      <c r="F80" s="72" t="n"/>
      <c r="G80" s="72" t="n"/>
      <c r="H80" s="72" t="n"/>
      <c r="I80" s="72" t="n"/>
      <c r="J80" s="71" t="n"/>
      <c r="K80" s="73" t="n"/>
    </row>
    <row r="81">
      <c r="A81" s="62" t="inlineStr">
        <is>
          <t>P</t>
        </is>
      </c>
      <c r="B81" s="60">
        <f>IF(D81&gt;1/1/2001,B80+1," ")</f>
        <v/>
      </c>
      <c r="C81" s="59">
        <f>IF(B81&lt;&gt;" ",CONCATENATE(A81,B81)," ")</f>
        <v/>
      </c>
      <c r="D81" s="69" t="n"/>
      <c r="E81" s="72" t="n"/>
      <c r="F81" s="72" t="n"/>
      <c r="G81" s="72" t="n"/>
      <c r="H81" s="72" t="n"/>
      <c r="I81" s="72" t="n"/>
      <c r="J81" s="71" t="n"/>
      <c r="K81" s="73" t="n"/>
    </row>
    <row r="82">
      <c r="A82" s="62" t="inlineStr">
        <is>
          <t>P</t>
        </is>
      </c>
      <c r="B82" s="60">
        <f>IF(D82&gt;1/1/2001,B81+1," ")</f>
        <v/>
      </c>
      <c r="C82" s="59">
        <f>IF(B82&lt;&gt;" ",CONCATENATE(A82,B82)," ")</f>
        <v/>
      </c>
      <c r="D82" s="69" t="n"/>
      <c r="E82" s="72" t="n"/>
      <c r="F82" s="72" t="n"/>
      <c r="G82" s="72" t="n"/>
      <c r="H82" s="72" t="n"/>
      <c r="I82" s="72" t="n"/>
      <c r="J82" s="71" t="n"/>
      <c r="K82" s="73" t="n"/>
    </row>
    <row r="83">
      <c r="A83" s="62" t="inlineStr">
        <is>
          <t>P</t>
        </is>
      </c>
      <c r="B83" s="60">
        <f>IF(D83&gt;1/1/2001,B82+1," ")</f>
        <v/>
      </c>
      <c r="C83" s="59">
        <f>IF(B83&lt;&gt;" ",CONCATENATE(A83,B83)," ")</f>
        <v/>
      </c>
      <c r="D83" s="69" t="n"/>
      <c r="E83" s="72" t="n"/>
      <c r="F83" s="72" t="n"/>
      <c r="G83" s="72" t="n"/>
      <c r="H83" s="72" t="n"/>
      <c r="I83" s="72" t="n"/>
      <c r="J83" s="71" t="n"/>
      <c r="K83" s="73" t="n"/>
    </row>
    <row r="84">
      <c r="A84" s="62" t="inlineStr">
        <is>
          <t>P</t>
        </is>
      </c>
      <c r="B84" s="60">
        <f>IF(D84&gt;1/1/2001,B83+1," ")</f>
        <v/>
      </c>
      <c r="C84" s="59">
        <f>IF(B84&lt;&gt;" ",CONCATENATE(A84,B84)," ")</f>
        <v/>
      </c>
      <c r="D84" s="69" t="n"/>
      <c r="E84" s="72" t="n"/>
      <c r="F84" s="72" t="n"/>
      <c r="G84" s="72" t="n"/>
      <c r="H84" s="72" t="n"/>
      <c r="I84" s="72" t="n"/>
      <c r="J84" s="71" t="n"/>
      <c r="K84" s="73" t="n"/>
    </row>
    <row r="85">
      <c r="A85" s="62" t="inlineStr">
        <is>
          <t>P</t>
        </is>
      </c>
      <c r="B85" s="60">
        <f>IF(D85&gt;1/1/2001,B84+1," ")</f>
        <v/>
      </c>
      <c r="C85" s="59">
        <f>IF(B85&lt;&gt;" ",CONCATENATE(A85,B85)," ")</f>
        <v/>
      </c>
      <c r="D85" s="69" t="n"/>
      <c r="E85" s="72" t="n"/>
      <c r="F85" s="72" t="n"/>
      <c r="G85" s="72" t="n"/>
      <c r="H85" s="72" t="n"/>
      <c r="I85" s="72" t="n"/>
      <c r="J85" s="71" t="n"/>
      <c r="K85" s="73" t="n"/>
    </row>
    <row r="86">
      <c r="A86" s="62" t="inlineStr">
        <is>
          <t>P</t>
        </is>
      </c>
      <c r="B86" s="60">
        <f>IF(D86&gt;1/1/2001,B85+1," ")</f>
        <v/>
      </c>
      <c r="C86" s="59">
        <f>IF(B86&lt;&gt;" ",CONCATENATE(A86,B86)," ")</f>
        <v/>
      </c>
      <c r="D86" s="69" t="n"/>
      <c r="E86" s="72" t="n"/>
      <c r="F86" s="72" t="n"/>
      <c r="G86" s="72" t="n"/>
      <c r="H86" s="72" t="n"/>
      <c r="I86" s="72" t="n"/>
      <c r="J86" s="71" t="n"/>
      <c r="K86" s="73" t="n"/>
    </row>
    <row r="87">
      <c r="A87" s="62" t="inlineStr">
        <is>
          <t>P</t>
        </is>
      </c>
      <c r="B87" s="60">
        <f>IF(D87&gt;1/1/2001,B86+1," ")</f>
        <v/>
      </c>
      <c r="C87" s="59">
        <f>IF(B87&lt;&gt;" ",CONCATENATE(A87,B87)," ")</f>
        <v/>
      </c>
      <c r="D87" s="69" t="n"/>
      <c r="E87" s="72" t="n"/>
      <c r="F87" s="72" t="n"/>
      <c r="G87" s="72" t="n"/>
      <c r="H87" s="72" t="n"/>
      <c r="I87" s="72" t="n"/>
      <c r="J87" s="71" t="n"/>
      <c r="K87" s="73" t="n"/>
    </row>
    <row r="88">
      <c r="A88" s="62" t="inlineStr">
        <is>
          <t>P</t>
        </is>
      </c>
      <c r="B88" s="60">
        <f>IF(D88&gt;1/1/2001,B87+1," ")</f>
        <v/>
      </c>
      <c r="C88" s="59">
        <f>IF(B88&lt;&gt;" ",CONCATENATE(A88,B88)," ")</f>
        <v/>
      </c>
      <c r="D88" s="69" t="n"/>
      <c r="E88" s="72" t="n"/>
      <c r="F88" s="72" t="n"/>
      <c r="G88" s="72" t="n"/>
      <c r="H88" s="72" t="n"/>
      <c r="I88" s="72" t="n"/>
      <c r="J88" s="71" t="n"/>
      <c r="K88" s="73" t="n"/>
    </row>
    <row r="89">
      <c r="A89" s="62" t="inlineStr">
        <is>
          <t>P</t>
        </is>
      </c>
      <c r="B89" s="60">
        <f>IF(D89&gt;1/1/2001,B88+1," ")</f>
        <v/>
      </c>
      <c r="C89" s="59">
        <f>IF(B89&lt;&gt;" ",CONCATENATE(A89,B89)," ")</f>
        <v/>
      </c>
      <c r="D89" s="69" t="n"/>
      <c r="E89" s="72" t="n"/>
      <c r="F89" s="72" t="n"/>
      <c r="G89" s="72" t="n"/>
      <c r="H89" s="72" t="n"/>
      <c r="I89" s="72" t="n"/>
      <c r="J89" s="71" t="n"/>
      <c r="K89" s="73" t="n"/>
    </row>
    <row r="90">
      <c r="A90" s="62" t="inlineStr">
        <is>
          <t>P</t>
        </is>
      </c>
      <c r="B90" s="60">
        <f>IF(D90&gt;1/1/2001,B89+1," ")</f>
        <v/>
      </c>
      <c r="C90" s="59">
        <f>IF(B90&lt;&gt;" ",CONCATENATE(A90,B90)," ")</f>
        <v/>
      </c>
      <c r="D90" s="69" t="n"/>
      <c r="E90" s="72" t="n"/>
      <c r="F90" s="72" t="n"/>
      <c r="G90" s="72" t="n"/>
      <c r="H90" s="72" t="n"/>
      <c r="I90" s="72" t="n"/>
      <c r="J90" s="71" t="n"/>
      <c r="K90" s="73" t="n"/>
    </row>
    <row r="91">
      <c r="A91" s="62" t="inlineStr">
        <is>
          <t>P</t>
        </is>
      </c>
      <c r="B91" s="60">
        <f>IF(D91&gt;1/1/2001,B90+1," ")</f>
        <v/>
      </c>
      <c r="C91" s="59">
        <f>IF(B91&lt;&gt;" ",CONCATENATE(A91,B91)," ")</f>
        <v/>
      </c>
      <c r="D91" s="69" t="n"/>
      <c r="E91" s="72" t="n"/>
      <c r="F91" s="72" t="n"/>
      <c r="G91" s="72" t="n"/>
      <c r="H91" s="72" t="n"/>
      <c r="I91" s="72" t="n"/>
      <c r="J91" s="71" t="n"/>
      <c r="K91" s="73" t="n"/>
    </row>
    <row r="92">
      <c r="A92" s="62" t="inlineStr">
        <is>
          <t>P</t>
        </is>
      </c>
      <c r="B92" s="60">
        <f>IF(D92&gt;1/1/2001,B91+1," ")</f>
        <v/>
      </c>
      <c r="C92" s="59">
        <f>IF(B92&lt;&gt;" ",CONCATENATE(A92,B92)," ")</f>
        <v/>
      </c>
      <c r="D92" s="69" t="n"/>
      <c r="E92" s="72" t="n"/>
      <c r="F92" s="72" t="n"/>
      <c r="G92" s="72" t="n"/>
      <c r="H92" s="72" t="n"/>
      <c r="I92" s="72" t="n"/>
      <c r="J92" s="71" t="n"/>
      <c r="K92" s="73" t="n"/>
    </row>
    <row r="93">
      <c r="A93" s="62" t="inlineStr">
        <is>
          <t>P</t>
        </is>
      </c>
      <c r="B93" s="60">
        <f>IF(D93&gt;1/1/2001,B92+1," ")</f>
        <v/>
      </c>
      <c r="C93" s="59">
        <f>IF(B93&lt;&gt;" ",CONCATENATE(A93,B93)," ")</f>
        <v/>
      </c>
      <c r="D93" s="69" t="n"/>
      <c r="E93" s="72" t="n"/>
      <c r="F93" s="72" t="n"/>
      <c r="G93" s="72" t="n"/>
      <c r="H93" s="72" t="n"/>
      <c r="I93" s="72" t="n"/>
      <c r="J93" s="71" t="n"/>
      <c r="K93" s="73" t="n"/>
    </row>
    <row r="94">
      <c r="A94" s="62" t="inlineStr">
        <is>
          <t>P</t>
        </is>
      </c>
      <c r="B94" s="60">
        <f>IF(D94&gt;1/1/2001,B93+1," ")</f>
        <v/>
      </c>
      <c r="C94" s="59">
        <f>IF(B94&lt;&gt;" ",CONCATENATE(A94,B94)," ")</f>
        <v/>
      </c>
      <c r="D94" s="69" t="n"/>
      <c r="E94" s="72" t="n"/>
      <c r="F94" s="72" t="n"/>
      <c r="G94" s="72" t="n"/>
      <c r="H94" s="72" t="n"/>
      <c r="I94" s="72" t="n"/>
      <c r="J94" s="71" t="n"/>
      <c r="K94" s="73" t="n"/>
    </row>
    <row r="95">
      <c r="A95" s="62" t="inlineStr">
        <is>
          <t>P</t>
        </is>
      </c>
      <c r="B95" s="60">
        <f>IF(D95&gt;1/1/2001,B94+1," ")</f>
        <v/>
      </c>
      <c r="C95" s="59">
        <f>IF(B95&lt;&gt;" ",CONCATENATE(A95,B95)," ")</f>
        <v/>
      </c>
      <c r="D95" s="69" t="n"/>
      <c r="E95" s="72" t="n"/>
      <c r="F95" s="72" t="n"/>
      <c r="G95" s="72" t="n"/>
      <c r="H95" s="72" t="n"/>
      <c r="I95" s="72" t="n"/>
      <c r="J95" s="71" t="n"/>
      <c r="K95" s="73" t="n"/>
    </row>
    <row r="96">
      <c r="A96" s="62" t="inlineStr">
        <is>
          <t>P</t>
        </is>
      </c>
      <c r="B96" s="60">
        <f>IF(D96&gt;1/1/2001,B95+1," ")</f>
        <v/>
      </c>
      <c r="C96" s="59">
        <f>IF(B96&lt;&gt;" ",CONCATENATE(A96,B96)," ")</f>
        <v/>
      </c>
      <c r="D96" s="69" t="n"/>
      <c r="E96" s="72" t="n"/>
      <c r="F96" s="72" t="n"/>
      <c r="G96" s="72" t="n"/>
      <c r="H96" s="72" t="n"/>
      <c r="I96" s="72" t="n"/>
      <c r="J96" s="71" t="n"/>
      <c r="K96" s="73" t="n"/>
    </row>
    <row r="97">
      <c r="A97" s="62" t="inlineStr">
        <is>
          <t>P</t>
        </is>
      </c>
      <c r="B97" s="60">
        <f>IF(D97&gt;1/1/2001,B96+1," ")</f>
        <v/>
      </c>
      <c r="C97" s="59">
        <f>IF(B97&lt;&gt;" ",CONCATENATE(A97,B97)," ")</f>
        <v/>
      </c>
      <c r="D97" s="69" t="n"/>
      <c r="E97" s="72" t="n"/>
      <c r="F97" s="72" t="n"/>
      <c r="G97" s="72" t="n"/>
      <c r="H97" s="72" t="n"/>
      <c r="I97" s="72" t="n"/>
      <c r="J97" s="71" t="n"/>
      <c r="K97" s="73" t="n"/>
    </row>
    <row r="98">
      <c r="A98" s="62" t="inlineStr">
        <is>
          <t>P</t>
        </is>
      </c>
      <c r="B98" s="60">
        <f>IF(D98&gt;1/1/2001,B97+1," ")</f>
        <v/>
      </c>
      <c r="C98" s="59">
        <f>IF(B98&lt;&gt;" ",CONCATENATE(A98,B98)," ")</f>
        <v/>
      </c>
      <c r="D98" s="69" t="n"/>
      <c r="E98" s="72" t="n"/>
      <c r="F98" s="72" t="n"/>
      <c r="G98" s="72" t="n"/>
      <c r="H98" s="72" t="n"/>
      <c r="I98" s="72" t="n"/>
      <c r="J98" s="71" t="n"/>
      <c r="K98" s="73" t="n"/>
    </row>
    <row r="99">
      <c r="A99" s="62" t="inlineStr">
        <is>
          <t>P</t>
        </is>
      </c>
      <c r="B99" s="60">
        <f>IF(D99&gt;1/1/2001,B98+1," ")</f>
        <v/>
      </c>
      <c r="C99" s="59">
        <f>IF(B99&lt;&gt;" ",CONCATENATE(A99,B99)," ")</f>
        <v/>
      </c>
      <c r="D99" s="69" t="n"/>
      <c r="E99" s="72" t="n"/>
      <c r="F99" s="72" t="n"/>
      <c r="G99" s="72" t="n"/>
      <c r="H99" s="72" t="n"/>
      <c r="I99" s="72" t="n"/>
      <c r="J99" s="71" t="n"/>
      <c r="K99" s="73" t="n"/>
    </row>
    <row r="100">
      <c r="A100" s="62" t="inlineStr">
        <is>
          <t>P</t>
        </is>
      </c>
      <c r="B100" s="60">
        <f>IF(D100&gt;1/1/2001,B99+1," ")</f>
        <v/>
      </c>
      <c r="C100" s="59">
        <f>IF(B100&lt;&gt;" ",CONCATENATE(A100,B100)," ")</f>
        <v/>
      </c>
      <c r="D100" s="69" t="n"/>
      <c r="E100" s="72" t="n"/>
      <c r="F100" s="72" t="n"/>
      <c r="G100" s="72" t="n"/>
      <c r="H100" s="72" t="n"/>
      <c r="I100" s="72" t="n"/>
      <c r="J100" s="71" t="n"/>
      <c r="K100" s="73" t="n"/>
    </row>
    <row r="101">
      <c r="A101" s="62" t="inlineStr">
        <is>
          <t>P</t>
        </is>
      </c>
      <c r="B101" s="60">
        <f>IF(D101&gt;1/1/2001,B100+1," ")</f>
        <v/>
      </c>
      <c r="C101" s="59">
        <f>IF(B101&lt;&gt;" ",CONCATENATE(A101,B101)," ")</f>
        <v/>
      </c>
      <c r="D101" s="69" t="n"/>
      <c r="E101" s="72" t="n"/>
      <c r="F101" s="72" t="n"/>
      <c r="G101" s="72" t="n"/>
      <c r="H101" s="72" t="n"/>
      <c r="I101" s="72" t="n"/>
      <c r="J101" s="71" t="n"/>
      <c r="K101" s="73" t="n"/>
    </row>
    <row r="102">
      <c r="A102" s="62" t="inlineStr">
        <is>
          <t>P</t>
        </is>
      </c>
      <c r="B102" s="60">
        <f>IF(D102&gt;1/1/2001,B101+1," ")</f>
        <v/>
      </c>
      <c r="C102" s="59">
        <f>IF(B102&lt;&gt;" ",CONCATENATE(A102,B102)," ")</f>
        <v/>
      </c>
      <c r="D102" s="69" t="n"/>
      <c r="E102" s="72" t="n"/>
      <c r="F102" s="72" t="n"/>
      <c r="G102" s="72" t="n"/>
      <c r="H102" s="72" t="n"/>
      <c r="I102" s="72" t="n"/>
      <c r="J102" s="71" t="n"/>
      <c r="K102" s="73" t="n"/>
    </row>
    <row r="103">
      <c r="A103" s="62" t="inlineStr">
        <is>
          <t>P</t>
        </is>
      </c>
      <c r="B103" s="60">
        <f>IF(D103&gt;1/1/2001,B102+1," ")</f>
        <v/>
      </c>
      <c r="C103" s="59">
        <f>IF(B103&lt;&gt;" ",CONCATENATE(A103,B103)," ")</f>
        <v/>
      </c>
      <c r="D103" s="69" t="n"/>
      <c r="E103" s="72" t="n"/>
      <c r="F103" s="72" t="n"/>
      <c r="G103" s="72" t="n"/>
      <c r="H103" s="72" t="n"/>
      <c r="I103" s="72" t="n"/>
      <c r="J103" s="71" t="n"/>
      <c r="K103" s="73" t="n"/>
    </row>
    <row r="104">
      <c r="A104" s="62" t="inlineStr">
        <is>
          <t>P</t>
        </is>
      </c>
      <c r="B104" s="60">
        <f>IF(D104&gt;1/1/2001,B103+1," ")</f>
        <v/>
      </c>
      <c r="C104" s="59">
        <f>IF(B104&lt;&gt;" ",CONCATENATE(A104,B104)," ")</f>
        <v/>
      </c>
      <c r="D104" s="69" t="n"/>
      <c r="E104" s="72" t="n"/>
      <c r="F104" s="72" t="n"/>
      <c r="G104" s="72" t="n"/>
      <c r="H104" s="72" t="n"/>
      <c r="I104" s="72" t="n"/>
      <c r="J104" s="71" t="n"/>
      <c r="K104" s="73" t="n"/>
    </row>
    <row r="105">
      <c r="A105" s="62" t="inlineStr">
        <is>
          <t>P</t>
        </is>
      </c>
      <c r="B105" s="60">
        <f>IF(D105&gt;1/1/2001,B104+1," ")</f>
        <v/>
      </c>
      <c r="C105" s="59">
        <f>IF(B105&lt;&gt;" ",CONCATENATE(A105,B105)," ")</f>
        <v/>
      </c>
      <c r="D105" s="69" t="n"/>
      <c r="E105" s="72" t="n"/>
      <c r="F105" s="72" t="n"/>
      <c r="G105" s="72" t="n"/>
      <c r="H105" s="72" t="n"/>
      <c r="I105" s="72" t="n"/>
      <c r="J105" s="71" t="n"/>
      <c r="K105" s="73" t="n"/>
    </row>
    <row r="106">
      <c r="A106" s="62" t="inlineStr">
        <is>
          <t>P</t>
        </is>
      </c>
      <c r="B106" s="60">
        <f>IF(D106&gt;1/1/2001,B105+1," ")</f>
        <v/>
      </c>
      <c r="C106" s="59">
        <f>IF(B106&lt;&gt;" ",CONCATENATE(A106,B106)," ")</f>
        <v/>
      </c>
      <c r="D106" s="69" t="n"/>
      <c r="E106" s="72" t="n"/>
      <c r="F106" s="72" t="n"/>
      <c r="G106" s="72" t="n"/>
      <c r="H106" s="72" t="n"/>
      <c r="I106" s="72" t="n"/>
      <c r="J106" s="71" t="n"/>
      <c r="K106" s="73" t="n"/>
    </row>
    <row r="107">
      <c r="A107" s="62" t="inlineStr">
        <is>
          <t>P</t>
        </is>
      </c>
      <c r="B107" s="60">
        <f>IF(D107&gt;1/1/2001,B106+1," ")</f>
        <v/>
      </c>
      <c r="C107" s="59">
        <f>IF(B107&lt;&gt;" ",CONCATENATE(A107,B107)," ")</f>
        <v/>
      </c>
      <c r="D107" s="69" t="n"/>
      <c r="E107" s="72" t="n"/>
      <c r="F107" s="72" t="n"/>
      <c r="G107" s="72" t="n"/>
      <c r="H107" s="72" t="n"/>
      <c r="I107" s="72" t="n"/>
      <c r="J107" s="71" t="n"/>
      <c r="K107" s="73" t="n"/>
    </row>
    <row r="108">
      <c r="A108" s="62" t="inlineStr">
        <is>
          <t>P</t>
        </is>
      </c>
      <c r="B108" s="60">
        <f>IF(D108&gt;1/1/2001,B107+1," ")</f>
        <v/>
      </c>
      <c r="C108" s="59">
        <f>IF(B108&lt;&gt;" ",CONCATENATE(A108,B108)," ")</f>
        <v/>
      </c>
      <c r="D108" s="69" t="n"/>
      <c r="E108" s="72" t="n"/>
      <c r="F108" s="72" t="n"/>
      <c r="G108" s="72" t="n"/>
      <c r="H108" s="72" t="n"/>
      <c r="I108" s="72" t="n"/>
      <c r="J108" s="71" t="n"/>
      <c r="K108" s="73" t="n"/>
    </row>
    <row r="109">
      <c r="A109" s="62" t="inlineStr">
        <is>
          <t>P</t>
        </is>
      </c>
      <c r="B109" s="60">
        <f>IF(D109&gt;1/1/2001,B108+1," ")</f>
        <v/>
      </c>
      <c r="C109" s="59">
        <f>IF(B109&lt;&gt;" ",CONCATENATE(A109,B109)," ")</f>
        <v/>
      </c>
      <c r="D109" s="69" t="n"/>
      <c r="E109" s="72" t="n"/>
      <c r="F109" s="72" t="n"/>
      <c r="G109" s="72" t="n"/>
      <c r="H109" s="72" t="n"/>
      <c r="I109" s="72" t="n"/>
      <c r="J109" s="71" t="n"/>
      <c r="K109" s="73" t="n"/>
    </row>
    <row r="110">
      <c r="A110" s="62" t="inlineStr">
        <is>
          <t>P</t>
        </is>
      </c>
      <c r="B110" s="60">
        <f>IF(D110&gt;1/1/2001,B109+1," ")</f>
        <v/>
      </c>
      <c r="C110" s="59">
        <f>IF(B110&lt;&gt;" ",CONCATENATE(A110,B110)," ")</f>
        <v/>
      </c>
      <c r="D110" s="69" t="n"/>
      <c r="E110" s="72" t="n"/>
      <c r="F110" s="72" t="n"/>
      <c r="G110" s="72" t="n"/>
      <c r="H110" s="72" t="n"/>
      <c r="I110" s="72" t="n"/>
      <c r="J110" s="71" t="n"/>
      <c r="K110" s="73" t="n"/>
    </row>
    <row r="111">
      <c r="A111" s="62" t="inlineStr">
        <is>
          <t>P</t>
        </is>
      </c>
      <c r="B111" s="60">
        <f>IF(D111&gt;1/1/2001,B110+1," ")</f>
        <v/>
      </c>
      <c r="C111" s="59">
        <f>IF(B111&lt;&gt;" ",CONCATENATE(A111,B111)," ")</f>
        <v/>
      </c>
      <c r="D111" s="69" t="n"/>
      <c r="E111" s="72" t="n"/>
      <c r="F111" s="72" t="n"/>
      <c r="G111" s="72" t="n"/>
      <c r="H111" s="72" t="n"/>
      <c r="I111" s="72" t="n"/>
      <c r="J111" s="71" t="n"/>
      <c r="K111" s="73" t="n"/>
    </row>
    <row r="112">
      <c r="A112" s="62" t="inlineStr">
        <is>
          <t>P</t>
        </is>
      </c>
      <c r="B112" s="60">
        <f>IF(D112&gt;1/1/2001,B111+1," ")</f>
        <v/>
      </c>
      <c r="C112" s="59">
        <f>IF(B112&lt;&gt;" ",CONCATENATE(A112,B112)," ")</f>
        <v/>
      </c>
      <c r="D112" s="69" t="n"/>
      <c r="E112" s="72" t="n"/>
      <c r="F112" s="72" t="n"/>
      <c r="G112" s="72" t="n"/>
      <c r="H112" s="72" t="n"/>
      <c r="I112" s="72" t="n"/>
      <c r="J112" s="71" t="n"/>
      <c r="K112" s="73" t="n"/>
    </row>
    <row r="113">
      <c r="A113" s="62" t="inlineStr">
        <is>
          <t>P</t>
        </is>
      </c>
      <c r="B113" s="60">
        <f>IF(D113&gt;1/1/2001,B112+1," ")</f>
        <v/>
      </c>
      <c r="C113" s="59">
        <f>IF(B113&lt;&gt;" ",CONCATENATE(A113,B113)," ")</f>
        <v/>
      </c>
      <c r="D113" s="69" t="n"/>
      <c r="E113" s="72" t="n"/>
      <c r="F113" s="72" t="n"/>
      <c r="G113" s="72" t="n"/>
      <c r="H113" s="72" t="n"/>
      <c r="I113" s="72" t="n"/>
      <c r="J113" s="71" t="n"/>
      <c r="K113" s="73" t="n"/>
    </row>
    <row r="114">
      <c r="A114" s="62" t="inlineStr">
        <is>
          <t>P</t>
        </is>
      </c>
      <c r="B114" s="60">
        <f>IF(D114&gt;1/1/2001,B113+1," ")</f>
        <v/>
      </c>
      <c r="C114" s="59">
        <f>IF(B114&lt;&gt;" ",CONCATENATE(A114,B114)," ")</f>
        <v/>
      </c>
      <c r="D114" s="69" t="n"/>
      <c r="E114" s="72" t="n"/>
      <c r="F114" s="72" t="n"/>
      <c r="G114" s="72" t="n"/>
      <c r="H114" s="72" t="n"/>
      <c r="I114" s="72" t="n"/>
      <c r="J114" s="71" t="n"/>
      <c r="K114" s="73" t="n"/>
    </row>
    <row r="115">
      <c r="A115" s="62" t="inlineStr">
        <is>
          <t>P</t>
        </is>
      </c>
      <c r="B115" s="60">
        <f>IF(D115&gt;1/1/2001,B114+1," ")</f>
        <v/>
      </c>
      <c r="C115" s="59">
        <f>IF(B115&lt;&gt;" ",CONCATENATE(A115,B115)," ")</f>
        <v/>
      </c>
      <c r="D115" s="69" t="n"/>
      <c r="E115" s="72" t="n"/>
      <c r="F115" s="72" t="n"/>
      <c r="G115" s="72" t="n"/>
      <c r="H115" s="72" t="n"/>
      <c r="I115" s="72" t="n"/>
      <c r="J115" s="71" t="n"/>
      <c r="K115" s="73" t="n"/>
    </row>
    <row r="116">
      <c r="A116" s="62" t="inlineStr">
        <is>
          <t>P</t>
        </is>
      </c>
      <c r="B116" s="60">
        <f>IF(D116&gt;1/1/2001,B115+1," ")</f>
        <v/>
      </c>
      <c r="C116" s="59">
        <f>IF(B116&lt;&gt;" ",CONCATENATE(A116,B116)," ")</f>
        <v/>
      </c>
      <c r="D116" s="69" t="n"/>
      <c r="E116" s="72" t="n"/>
      <c r="F116" s="72" t="n"/>
      <c r="G116" s="72" t="n"/>
      <c r="H116" s="72" t="n"/>
      <c r="I116" s="72" t="n"/>
      <c r="J116" s="71" t="n"/>
      <c r="K116" s="73" t="n"/>
    </row>
    <row r="117">
      <c r="A117" s="62" t="inlineStr">
        <is>
          <t>P</t>
        </is>
      </c>
      <c r="B117" s="60">
        <f>IF(D117&gt;1/1/2001,B116+1," ")</f>
        <v/>
      </c>
      <c r="C117" s="59">
        <f>IF(B117&lt;&gt;" ",CONCATENATE(A117,B117)," ")</f>
        <v/>
      </c>
      <c r="D117" s="69" t="n"/>
      <c r="E117" s="72" t="n"/>
      <c r="F117" s="72" t="n"/>
      <c r="G117" s="72" t="n"/>
      <c r="H117" s="72" t="n"/>
      <c r="I117" s="72" t="n"/>
      <c r="J117" s="71" t="n"/>
      <c r="K117" s="73" t="n"/>
    </row>
    <row r="118">
      <c r="A118" s="62" t="inlineStr">
        <is>
          <t>P</t>
        </is>
      </c>
      <c r="B118" s="60">
        <f>IF(D118&gt;1/1/2001,B117+1," ")</f>
        <v/>
      </c>
      <c r="C118" s="59">
        <f>IF(B118&lt;&gt;" ",CONCATENATE(A118,B118)," ")</f>
        <v/>
      </c>
      <c r="D118" s="69" t="n"/>
      <c r="E118" s="72" t="n"/>
      <c r="F118" s="72" t="n"/>
      <c r="G118" s="72" t="n"/>
      <c r="H118" s="72" t="n"/>
      <c r="I118" s="72" t="n"/>
      <c r="J118" s="71" t="n"/>
      <c r="K118" s="73" t="n"/>
    </row>
    <row r="119">
      <c r="A119" s="62" t="inlineStr">
        <is>
          <t>P</t>
        </is>
      </c>
      <c r="B119" s="60">
        <f>IF(D119&gt;1/1/2001,B118+1," ")</f>
        <v/>
      </c>
      <c r="C119" s="59">
        <f>IF(B119&lt;&gt;" ",CONCATENATE(A119,B119)," ")</f>
        <v/>
      </c>
      <c r="D119" s="69" t="n"/>
      <c r="E119" s="72" t="n"/>
      <c r="F119" s="72" t="n"/>
      <c r="G119" s="72" t="n"/>
      <c r="H119" s="72" t="n"/>
      <c r="I119" s="72" t="n"/>
      <c r="J119" s="71" t="n"/>
      <c r="K119" s="73" t="n"/>
    </row>
    <row r="120">
      <c r="A120" s="62" t="inlineStr">
        <is>
          <t>P</t>
        </is>
      </c>
      <c r="B120" s="60">
        <f>IF(D120&gt;1/1/2001,B119+1," ")</f>
        <v/>
      </c>
      <c r="C120" s="59">
        <f>IF(B120&lt;&gt;" ",CONCATENATE(A120,B120)," ")</f>
        <v/>
      </c>
      <c r="D120" s="69" t="n"/>
      <c r="E120" s="72" t="n"/>
      <c r="F120" s="72" t="n"/>
      <c r="G120" s="72" t="n"/>
      <c r="H120" s="72" t="n"/>
      <c r="I120" s="72" t="n"/>
      <c r="J120" s="71" t="n"/>
      <c r="K120" s="73" t="n"/>
    </row>
    <row r="121">
      <c r="A121" s="62" t="inlineStr">
        <is>
          <t>P</t>
        </is>
      </c>
      <c r="B121" s="60">
        <f>IF(D121&gt;1/1/2001,B120+1," ")</f>
        <v/>
      </c>
      <c r="C121" s="59">
        <f>IF(B121&lt;&gt;" ",CONCATENATE(A121,B121)," ")</f>
        <v/>
      </c>
      <c r="D121" s="69" t="n"/>
      <c r="E121" s="72" t="n"/>
      <c r="F121" s="72" t="n"/>
      <c r="G121" s="72" t="n"/>
      <c r="H121" s="72" t="n"/>
      <c r="I121" s="72" t="n"/>
      <c r="J121" s="71" t="n"/>
      <c r="K121" s="73" t="n"/>
    </row>
    <row r="122">
      <c r="A122" s="62" t="inlineStr">
        <is>
          <t>P</t>
        </is>
      </c>
      <c r="B122" s="60">
        <f>IF(D122&gt;1/1/2001,B121+1," ")</f>
        <v/>
      </c>
      <c r="C122" s="59">
        <f>IF(B122&lt;&gt;" ",CONCATENATE(A122,B122)," ")</f>
        <v/>
      </c>
      <c r="D122" s="69" t="n"/>
      <c r="E122" s="72" t="n"/>
      <c r="F122" s="72" t="n"/>
      <c r="G122" s="72" t="n"/>
      <c r="H122" s="72" t="n"/>
      <c r="I122" s="72" t="n"/>
      <c r="J122" s="71" t="n"/>
      <c r="K122" s="73" t="n"/>
    </row>
    <row r="123">
      <c r="A123" s="62" t="inlineStr">
        <is>
          <t>P</t>
        </is>
      </c>
      <c r="B123" s="60">
        <f>IF(D123&gt;1/1/2001,B122+1," ")</f>
        <v/>
      </c>
      <c r="C123" s="59">
        <f>IF(B123&lt;&gt;" ",CONCATENATE(A123,B123)," ")</f>
        <v/>
      </c>
      <c r="D123" s="69" t="n"/>
      <c r="E123" s="72" t="n"/>
      <c r="F123" s="72" t="n"/>
      <c r="G123" s="72" t="n"/>
      <c r="H123" s="72" t="n"/>
      <c r="I123" s="72" t="n"/>
      <c r="J123" s="71" t="n"/>
      <c r="K123" s="73" t="n"/>
    </row>
    <row r="124">
      <c r="A124" s="62" t="inlineStr">
        <is>
          <t>P</t>
        </is>
      </c>
      <c r="B124" s="60">
        <f>IF(D124&gt;1/1/2001,B123+1," ")</f>
        <v/>
      </c>
      <c r="C124" s="59">
        <f>IF(B124&lt;&gt;" ",CONCATENATE(A124,B124)," ")</f>
        <v/>
      </c>
      <c r="D124" s="69" t="n"/>
      <c r="E124" s="72" t="n"/>
      <c r="F124" s="72" t="n"/>
      <c r="G124" s="72" t="n"/>
      <c r="H124" s="72" t="n"/>
      <c r="I124" s="72" t="n"/>
      <c r="J124" s="71" t="n"/>
      <c r="K124" s="73" t="n"/>
    </row>
    <row r="125">
      <c r="A125" s="62" t="inlineStr">
        <is>
          <t>P</t>
        </is>
      </c>
      <c r="B125" s="60">
        <f>IF(D125&gt;1/1/2001,B124+1," ")</f>
        <v/>
      </c>
      <c r="C125" s="59">
        <f>IF(B125&lt;&gt;" ",CONCATENATE(A125,B125)," ")</f>
        <v/>
      </c>
      <c r="D125" s="69" t="n"/>
      <c r="E125" s="72" t="n"/>
      <c r="F125" s="72" t="n"/>
      <c r="G125" s="72" t="n"/>
      <c r="H125" s="72" t="n"/>
      <c r="I125" s="72" t="n"/>
      <c r="J125" s="71" t="n"/>
      <c r="K125" s="73" t="n"/>
    </row>
    <row r="126">
      <c r="A126" s="62" t="inlineStr">
        <is>
          <t>P</t>
        </is>
      </c>
      <c r="B126" s="60">
        <f>IF(D126&gt;1/1/2001,B125+1," ")</f>
        <v/>
      </c>
      <c r="C126" s="59">
        <f>IF(B126&lt;&gt;" ",CONCATENATE(A126,B126)," ")</f>
        <v/>
      </c>
      <c r="D126" s="69" t="n"/>
      <c r="E126" s="72" t="n"/>
      <c r="F126" s="72" t="n"/>
      <c r="G126" s="72" t="n"/>
      <c r="H126" s="72" t="n"/>
      <c r="I126" s="72" t="n"/>
      <c r="J126" s="71" t="n"/>
      <c r="K126" s="73" t="n"/>
    </row>
    <row r="127">
      <c r="A127" s="62" t="inlineStr">
        <is>
          <t>P</t>
        </is>
      </c>
      <c r="B127" s="60">
        <f>IF(D127&gt;1/1/2001,B126+1," ")</f>
        <v/>
      </c>
      <c r="C127" s="59">
        <f>IF(B127&lt;&gt;" ",CONCATENATE(A127,B127)," ")</f>
        <v/>
      </c>
      <c r="D127" s="69" t="n"/>
      <c r="E127" s="72" t="n"/>
      <c r="F127" s="72" t="n"/>
      <c r="G127" s="72" t="n"/>
      <c r="H127" s="72" t="n"/>
      <c r="I127" s="72" t="n"/>
      <c r="J127" s="71" t="n"/>
      <c r="K127" s="73" t="n"/>
    </row>
    <row r="128">
      <c r="A128" s="62" t="inlineStr">
        <is>
          <t>P</t>
        </is>
      </c>
      <c r="B128" s="60">
        <f>IF(D128&gt;1/1/2001,B127+1," ")</f>
        <v/>
      </c>
      <c r="C128" s="59">
        <f>IF(B128&lt;&gt;" ",CONCATENATE(A128,B128)," ")</f>
        <v/>
      </c>
      <c r="D128" s="69" t="n"/>
      <c r="E128" s="72" t="n"/>
      <c r="F128" s="72" t="n"/>
      <c r="G128" s="72" t="n"/>
      <c r="H128" s="72" t="n"/>
      <c r="I128" s="72" t="n"/>
      <c r="J128" s="71" t="n"/>
      <c r="K128" s="73" t="n"/>
    </row>
    <row r="129">
      <c r="A129" s="62" t="inlineStr">
        <is>
          <t>P</t>
        </is>
      </c>
      <c r="B129" s="60">
        <f>IF(D129&gt;1/1/2001,B128+1," ")</f>
        <v/>
      </c>
      <c r="C129" s="59">
        <f>IF(B129&lt;&gt;" ",CONCATENATE(A129,B129)," ")</f>
        <v/>
      </c>
      <c r="D129" s="69" t="n"/>
      <c r="E129" s="72" t="n"/>
      <c r="F129" s="72" t="n"/>
      <c r="G129" s="72" t="n"/>
      <c r="H129" s="72" t="n"/>
      <c r="I129" s="72" t="n"/>
      <c r="J129" s="71" t="n"/>
      <c r="K129" s="73" t="n"/>
    </row>
    <row r="130">
      <c r="A130" s="62" t="inlineStr">
        <is>
          <t>P</t>
        </is>
      </c>
      <c r="B130" s="60">
        <f>IF(D130&gt;1/1/2001,B129+1," ")</f>
        <v/>
      </c>
      <c r="C130" s="59">
        <f>IF(B130&lt;&gt;" ",CONCATENATE(A130,B130)," ")</f>
        <v/>
      </c>
      <c r="D130" s="69" t="n"/>
      <c r="E130" s="72" t="n"/>
      <c r="F130" s="72" t="n"/>
      <c r="G130" s="72" t="n"/>
      <c r="H130" s="72" t="n"/>
      <c r="I130" s="72" t="n"/>
      <c r="J130" s="71" t="n"/>
      <c r="K130" s="73" t="n"/>
    </row>
    <row r="131">
      <c r="A131" s="62" t="inlineStr">
        <is>
          <t>P</t>
        </is>
      </c>
      <c r="B131" s="60">
        <f>IF(D131&gt;1/1/2001,B130+1," ")</f>
        <v/>
      </c>
      <c r="C131" s="59">
        <f>IF(B131&lt;&gt;" ",CONCATENATE(A131,B131)," ")</f>
        <v/>
      </c>
      <c r="D131" s="69" t="n"/>
      <c r="E131" s="72" t="n"/>
      <c r="F131" s="72" t="n"/>
      <c r="G131" s="72" t="n"/>
      <c r="H131" s="72" t="n"/>
      <c r="I131" s="72" t="n"/>
      <c r="J131" s="71" t="n"/>
      <c r="K131" s="73" t="n"/>
    </row>
    <row r="132">
      <c r="A132" s="62" t="inlineStr">
        <is>
          <t>P</t>
        </is>
      </c>
      <c r="B132" s="60">
        <f>IF(D132&gt;1/1/2001,B131+1," ")</f>
        <v/>
      </c>
      <c r="C132" s="59">
        <f>IF(B132&lt;&gt;" ",CONCATENATE(A132,B132)," ")</f>
        <v/>
      </c>
      <c r="D132" s="69" t="n"/>
      <c r="E132" s="72" t="n"/>
      <c r="F132" s="72" t="n"/>
      <c r="G132" s="72" t="n"/>
      <c r="H132" s="72" t="n"/>
      <c r="I132" s="72" t="n"/>
      <c r="J132" s="71" t="n"/>
      <c r="K132" s="73" t="n"/>
    </row>
    <row r="133">
      <c r="A133" s="62" t="inlineStr">
        <is>
          <t>P</t>
        </is>
      </c>
      <c r="B133" s="60">
        <f>IF(D133&gt;1/1/2001,B132+1," ")</f>
        <v/>
      </c>
      <c r="C133" s="59">
        <f>IF(B133&lt;&gt;" ",CONCATENATE(A133,B133)," ")</f>
        <v/>
      </c>
      <c r="D133" s="69" t="n"/>
      <c r="E133" s="72" t="n"/>
      <c r="F133" s="72" t="n"/>
      <c r="G133" s="72" t="n"/>
      <c r="H133" s="72" t="n"/>
      <c r="I133" s="72" t="n"/>
      <c r="J133" s="71" t="n"/>
      <c r="K133" s="73" t="n"/>
    </row>
    <row r="134">
      <c r="A134" s="62" t="inlineStr">
        <is>
          <t>P</t>
        </is>
      </c>
      <c r="B134" s="60">
        <f>IF(D134&gt;1/1/2001,B133+1," ")</f>
        <v/>
      </c>
      <c r="C134" s="59">
        <f>IF(B134&lt;&gt;" ",CONCATENATE(A134,B134)," ")</f>
        <v/>
      </c>
      <c r="D134" s="69" t="n"/>
      <c r="E134" s="72" t="n"/>
      <c r="F134" s="72" t="n"/>
      <c r="G134" s="72" t="n"/>
      <c r="H134" s="72" t="n"/>
      <c r="I134" s="72" t="n"/>
      <c r="J134" s="71" t="n"/>
      <c r="K134" s="73" t="n"/>
    </row>
    <row r="135">
      <c r="A135" s="62" t="inlineStr">
        <is>
          <t>P</t>
        </is>
      </c>
      <c r="B135" s="60">
        <f>IF(D135&gt;1/1/2001,B134+1," ")</f>
        <v/>
      </c>
      <c r="C135" s="59">
        <f>IF(B135&lt;&gt;" ",CONCATENATE(A135,B135)," ")</f>
        <v/>
      </c>
      <c r="D135" s="69" t="n"/>
      <c r="E135" s="72" t="n"/>
      <c r="F135" s="72" t="n"/>
      <c r="G135" s="72" t="n"/>
      <c r="H135" s="72" t="n"/>
      <c r="I135" s="72" t="n"/>
      <c r="J135" s="71" t="n"/>
      <c r="K135" s="73" t="n"/>
    </row>
    <row r="136">
      <c r="A136" s="62" t="inlineStr">
        <is>
          <t>P</t>
        </is>
      </c>
      <c r="B136" s="60">
        <f>IF(D136&gt;1/1/2001,B135+1," ")</f>
        <v/>
      </c>
      <c r="C136" s="59">
        <f>IF(B136&lt;&gt;" ",CONCATENATE(A136,B136)," ")</f>
        <v/>
      </c>
      <c r="D136" s="69" t="n"/>
      <c r="E136" s="72" t="n"/>
      <c r="F136" s="72" t="n"/>
      <c r="G136" s="72" t="n"/>
      <c r="H136" s="72" t="n"/>
      <c r="I136" s="72" t="n"/>
      <c r="J136" s="71" t="n"/>
      <c r="K136" s="73" t="n"/>
    </row>
    <row r="137">
      <c r="A137" s="62" t="inlineStr">
        <is>
          <t>P</t>
        </is>
      </c>
      <c r="B137" s="60">
        <f>IF(D137&gt;1/1/2001,B136+1," ")</f>
        <v/>
      </c>
      <c r="C137" s="59">
        <f>IF(B137&lt;&gt;" ",CONCATENATE(A137,B137)," ")</f>
        <v/>
      </c>
      <c r="D137" s="69" t="n"/>
      <c r="E137" s="72" t="n"/>
      <c r="F137" s="72" t="n"/>
      <c r="G137" s="72" t="n"/>
      <c r="H137" s="72" t="n"/>
      <c r="I137" s="72" t="n"/>
      <c r="J137" s="71" t="n"/>
      <c r="K137" s="73" t="n"/>
    </row>
    <row r="138">
      <c r="A138" s="62" t="inlineStr">
        <is>
          <t>P</t>
        </is>
      </c>
      <c r="B138" s="60">
        <f>IF(D138&gt;1/1/2001,B137+1," ")</f>
        <v/>
      </c>
      <c r="C138" s="59">
        <f>IF(B138&lt;&gt;" ",CONCATENATE(A138,B138)," ")</f>
        <v/>
      </c>
      <c r="D138" s="69" t="n"/>
      <c r="E138" s="72" t="n"/>
      <c r="F138" s="72" t="n"/>
      <c r="G138" s="72" t="n"/>
      <c r="H138" s="72" t="n"/>
      <c r="I138" s="72" t="n"/>
      <c r="J138" s="71" t="n"/>
      <c r="K138" s="73" t="n"/>
    </row>
    <row r="139">
      <c r="A139" s="62" t="inlineStr">
        <is>
          <t>P</t>
        </is>
      </c>
      <c r="B139" s="60">
        <f>IF(D139&gt;1/1/2001,B138+1," ")</f>
        <v/>
      </c>
      <c r="C139" s="59">
        <f>IF(B139&lt;&gt;" ",CONCATENATE(A139,B139)," ")</f>
        <v/>
      </c>
      <c r="D139" s="69" t="n"/>
      <c r="E139" s="72" t="n"/>
      <c r="F139" s="72" t="n"/>
      <c r="G139" s="72" t="n"/>
      <c r="H139" s="72" t="n"/>
      <c r="I139" s="72" t="n"/>
      <c r="J139" s="71" t="n"/>
      <c r="K139" s="73" t="n"/>
    </row>
    <row r="140">
      <c r="A140" s="62" t="inlineStr">
        <is>
          <t>P</t>
        </is>
      </c>
      <c r="B140" s="60">
        <f>IF(D140&gt;1/1/2001,B139+1," ")</f>
        <v/>
      </c>
      <c r="C140" s="59">
        <f>IF(B140&lt;&gt;" ",CONCATENATE(A140,B140)," ")</f>
        <v/>
      </c>
      <c r="D140" s="69" t="n"/>
      <c r="E140" s="72" t="n"/>
      <c r="F140" s="72" t="n"/>
      <c r="G140" s="72" t="n"/>
      <c r="H140" s="72" t="n"/>
      <c r="I140" s="72" t="n"/>
      <c r="J140" s="71" t="n"/>
      <c r="K140" s="73" t="n"/>
    </row>
    <row r="141">
      <c r="A141" s="62" t="inlineStr">
        <is>
          <t>P</t>
        </is>
      </c>
      <c r="B141" s="60">
        <f>IF(D141&gt;1/1/2001,B140+1," ")</f>
        <v/>
      </c>
      <c r="C141" s="59">
        <f>IF(B141&lt;&gt;" ",CONCATENATE(A141,B141)," ")</f>
        <v/>
      </c>
      <c r="D141" s="69" t="n"/>
      <c r="E141" s="72" t="n"/>
      <c r="F141" s="72" t="n"/>
      <c r="G141" s="72" t="n"/>
      <c r="H141" s="72" t="n"/>
      <c r="I141" s="72" t="n"/>
      <c r="J141" s="71" t="n"/>
      <c r="K141" s="73" t="n"/>
    </row>
    <row r="142">
      <c r="A142" s="62" t="inlineStr">
        <is>
          <t>P</t>
        </is>
      </c>
      <c r="B142" s="60">
        <f>IF(D142&gt;1/1/2001,B141+1," ")</f>
        <v/>
      </c>
      <c r="C142" s="59">
        <f>IF(B142&lt;&gt;" ",CONCATENATE(A142,B142)," ")</f>
        <v/>
      </c>
      <c r="D142" s="69" t="n"/>
      <c r="E142" s="72" t="n"/>
      <c r="F142" s="72" t="n"/>
      <c r="G142" s="72" t="n"/>
      <c r="H142" s="72" t="n"/>
      <c r="I142" s="72" t="n"/>
      <c r="J142" s="71" t="n"/>
      <c r="K142" s="73" t="n"/>
    </row>
    <row r="143">
      <c r="A143" s="62" t="inlineStr">
        <is>
          <t>P</t>
        </is>
      </c>
      <c r="B143" s="60">
        <f>IF(D143&gt;1/1/2001,B142+1," ")</f>
        <v/>
      </c>
      <c r="C143" s="59">
        <f>IF(B143&lt;&gt;" ",CONCATENATE(A143,B143)," ")</f>
        <v/>
      </c>
      <c r="D143" s="69" t="n"/>
      <c r="E143" s="72" t="n"/>
      <c r="F143" s="72" t="n"/>
      <c r="G143" s="72" t="n"/>
      <c r="H143" s="72" t="n"/>
      <c r="I143" s="72" t="n"/>
      <c r="J143" s="71" t="n"/>
      <c r="K143" s="73" t="n"/>
    </row>
    <row r="144">
      <c r="A144" s="62" t="inlineStr">
        <is>
          <t>P</t>
        </is>
      </c>
      <c r="B144" s="60">
        <f>IF(D144&gt;1/1/2001,B143+1," ")</f>
        <v/>
      </c>
      <c r="C144" s="59">
        <f>IF(B144&lt;&gt;" ",CONCATENATE(A144,B144)," ")</f>
        <v/>
      </c>
      <c r="D144" s="69" t="n"/>
      <c r="E144" s="72" t="n"/>
      <c r="F144" s="72" t="n"/>
      <c r="G144" s="72" t="n"/>
      <c r="H144" s="72" t="n"/>
      <c r="I144" s="72" t="n"/>
      <c r="J144" s="71" t="n"/>
      <c r="K144" s="73" t="n"/>
    </row>
    <row r="145">
      <c r="A145" s="62" t="inlineStr">
        <is>
          <t>P</t>
        </is>
      </c>
      <c r="B145" s="60">
        <f>IF(D145&gt;1/1/2001,B144+1," ")</f>
        <v/>
      </c>
      <c r="C145" s="59">
        <f>IF(B145&lt;&gt;" ",CONCATENATE(A145,B145)," ")</f>
        <v/>
      </c>
      <c r="D145" s="69" t="n"/>
      <c r="E145" s="72" t="n"/>
      <c r="F145" s="72" t="n"/>
      <c r="G145" s="72" t="n"/>
      <c r="H145" s="72" t="n"/>
      <c r="I145" s="72" t="n"/>
      <c r="J145" s="71" t="n"/>
      <c r="K145" s="73" t="n"/>
    </row>
    <row r="146">
      <c r="A146" s="62" t="inlineStr">
        <is>
          <t>P</t>
        </is>
      </c>
      <c r="B146" s="60">
        <f>IF(D146&gt;1/1/2001,B145+1," ")</f>
        <v/>
      </c>
      <c r="C146" s="59">
        <f>IF(B146&lt;&gt;" ",CONCATENATE(A146,B146)," ")</f>
        <v/>
      </c>
      <c r="D146" s="69" t="n"/>
      <c r="E146" s="72" t="n"/>
      <c r="F146" s="72" t="n"/>
      <c r="G146" s="72" t="n"/>
      <c r="H146" s="72" t="n"/>
      <c r="I146" s="72" t="n"/>
      <c r="J146" s="71" t="n"/>
      <c r="K146" s="73" t="n"/>
    </row>
    <row r="147">
      <c r="A147" s="62" t="inlineStr">
        <is>
          <t>P</t>
        </is>
      </c>
      <c r="B147" s="60">
        <f>IF(D147&gt;1/1/2001,B146+1," ")</f>
        <v/>
      </c>
      <c r="C147" s="59">
        <f>IF(B147&lt;&gt;" ",CONCATENATE(A147,B147)," ")</f>
        <v/>
      </c>
      <c r="D147" s="69" t="n"/>
      <c r="E147" s="72" t="n"/>
      <c r="F147" s="72" t="n"/>
      <c r="G147" s="72" t="n"/>
      <c r="H147" s="72" t="n"/>
      <c r="I147" s="72" t="n"/>
      <c r="J147" s="71" t="n"/>
      <c r="K147" s="73" t="n"/>
    </row>
    <row r="148">
      <c r="A148" s="62" t="inlineStr">
        <is>
          <t>P</t>
        </is>
      </c>
      <c r="B148" s="60">
        <f>IF(D148&gt;1/1/2001,B147+1," ")</f>
        <v/>
      </c>
      <c r="C148" s="59">
        <f>IF(B148&lt;&gt;" ",CONCATENATE(A148,B148)," ")</f>
        <v/>
      </c>
      <c r="D148" s="69" t="n"/>
      <c r="E148" s="72" t="n"/>
      <c r="F148" s="72" t="n"/>
      <c r="G148" s="72" t="n"/>
      <c r="H148" s="72" t="n"/>
      <c r="I148" s="72" t="n"/>
      <c r="J148" s="71" t="n"/>
      <c r="K148" s="73" t="n"/>
    </row>
    <row r="149">
      <c r="A149" s="62" t="inlineStr">
        <is>
          <t>P</t>
        </is>
      </c>
      <c r="B149" s="60">
        <f>IF(D149&gt;1/1/2001,B148+1," ")</f>
        <v/>
      </c>
      <c r="C149" s="59">
        <f>IF(B149&lt;&gt;" ",CONCATENATE(A149,B149)," ")</f>
        <v/>
      </c>
      <c r="D149" s="69" t="n"/>
      <c r="E149" s="72" t="n"/>
      <c r="F149" s="72" t="n"/>
      <c r="G149" s="72" t="n"/>
      <c r="H149" s="72" t="n"/>
      <c r="I149" s="72" t="n"/>
      <c r="J149" s="71" t="n"/>
      <c r="K149" s="73" t="n"/>
    </row>
    <row r="150">
      <c r="A150" s="62" t="inlineStr">
        <is>
          <t>P</t>
        </is>
      </c>
      <c r="B150" s="60">
        <f>IF(D150&gt;1/1/2001,B149+1," ")</f>
        <v/>
      </c>
      <c r="C150" s="59">
        <f>IF(B150&lt;&gt;" ",CONCATENATE(A150,B150)," ")</f>
        <v/>
      </c>
      <c r="D150" s="69" t="n"/>
      <c r="E150" s="72" t="n"/>
      <c r="F150" s="72" t="n"/>
      <c r="G150" s="72" t="n"/>
      <c r="H150" s="72" t="n"/>
      <c r="I150" s="72" t="n"/>
      <c r="J150" s="71" t="n"/>
      <c r="K150" s="73" t="n"/>
    </row>
    <row r="151">
      <c r="A151" s="62" t="inlineStr">
        <is>
          <t>P</t>
        </is>
      </c>
      <c r="B151" s="60">
        <f>IF(D151&gt;1/1/2001,B150+1," ")</f>
        <v/>
      </c>
      <c r="C151" s="59">
        <f>IF(B151&lt;&gt;" ",CONCATENATE(A151,B151)," ")</f>
        <v/>
      </c>
      <c r="D151" s="69" t="n"/>
      <c r="E151" s="72" t="n"/>
      <c r="F151" s="72" t="n"/>
      <c r="G151" s="72" t="n"/>
      <c r="H151" s="72" t="n"/>
      <c r="I151" s="72" t="n"/>
      <c r="J151" s="71" t="n"/>
      <c r="K151" s="73" t="n"/>
    </row>
    <row r="152">
      <c r="A152" s="62" t="inlineStr">
        <is>
          <t>P</t>
        </is>
      </c>
      <c r="B152" s="60">
        <f>IF(D152&gt;1/1/2001,B151+1," ")</f>
        <v/>
      </c>
      <c r="C152" s="59">
        <f>IF(B152&lt;&gt;" ",CONCATENATE(A152,B152)," ")</f>
        <v/>
      </c>
      <c r="D152" s="69" t="n"/>
      <c r="E152" s="72" t="n"/>
      <c r="F152" s="72" t="n"/>
      <c r="G152" s="72" t="n"/>
      <c r="H152" s="72" t="n"/>
      <c r="I152" s="72" t="n"/>
      <c r="J152" s="71" t="n"/>
      <c r="K152" s="73" t="n"/>
    </row>
    <row r="153">
      <c r="A153" s="62" t="inlineStr">
        <is>
          <t>P</t>
        </is>
      </c>
      <c r="B153" s="60">
        <f>IF(D153&gt;1/1/2001,B152+1," ")</f>
        <v/>
      </c>
      <c r="C153" s="59">
        <f>IF(B153&lt;&gt;" ",CONCATENATE(A153,B153)," ")</f>
        <v/>
      </c>
      <c r="D153" s="69" t="n"/>
      <c r="E153" s="72" t="n"/>
      <c r="F153" s="72" t="n"/>
      <c r="G153" s="72" t="n"/>
      <c r="H153" s="72" t="n"/>
      <c r="I153" s="72" t="n"/>
      <c r="J153" s="71" t="n"/>
      <c r="K153" s="73" t="n"/>
    </row>
    <row r="154">
      <c r="A154" s="62" t="inlineStr">
        <is>
          <t>P</t>
        </is>
      </c>
      <c r="B154" s="60">
        <f>IF(D154&gt;1/1/2001,B153+1," ")</f>
        <v/>
      </c>
      <c r="C154" s="59">
        <f>IF(B154&lt;&gt;" ",CONCATENATE(A154,B154)," ")</f>
        <v/>
      </c>
      <c r="D154" s="69" t="n"/>
      <c r="E154" s="72" t="n"/>
      <c r="F154" s="72" t="n"/>
      <c r="G154" s="72" t="n"/>
      <c r="H154" s="72" t="n"/>
      <c r="I154" s="72" t="n"/>
      <c r="J154" s="71" t="n"/>
      <c r="K154" s="73" t="n"/>
    </row>
    <row r="155">
      <c r="A155" s="62" t="inlineStr">
        <is>
          <t>P</t>
        </is>
      </c>
      <c r="B155" s="60">
        <f>IF(D155&gt;1/1/2001,B154+1," ")</f>
        <v/>
      </c>
      <c r="C155" s="59">
        <f>IF(B155&lt;&gt;" ",CONCATENATE(A155,B155)," ")</f>
        <v/>
      </c>
      <c r="D155" s="69" t="n"/>
      <c r="E155" s="72" t="n"/>
      <c r="F155" s="72" t="n"/>
      <c r="G155" s="72" t="n"/>
      <c r="H155" s="72" t="n"/>
      <c r="I155" s="72" t="n"/>
      <c r="J155" s="71" t="n"/>
      <c r="K155" s="73" t="n"/>
    </row>
    <row r="156">
      <c r="A156" s="62" t="inlineStr">
        <is>
          <t>P</t>
        </is>
      </c>
      <c r="B156" s="60">
        <f>IF(D156&gt;1/1/2001,B155+1," ")</f>
        <v/>
      </c>
      <c r="C156" s="59">
        <f>IF(B156&lt;&gt;" ",CONCATENATE(A156,B156)," ")</f>
        <v/>
      </c>
      <c r="D156" s="69" t="n"/>
      <c r="E156" s="72" t="n"/>
      <c r="F156" s="72" t="n"/>
      <c r="G156" s="72" t="n"/>
      <c r="H156" s="72" t="n"/>
      <c r="I156" s="72" t="n"/>
      <c r="J156" s="71" t="n"/>
      <c r="K156" s="73" t="n"/>
    </row>
    <row r="157">
      <c r="A157" s="62" t="inlineStr">
        <is>
          <t>P</t>
        </is>
      </c>
      <c r="B157" s="60">
        <f>IF(D157&gt;1/1/2001,B156+1," ")</f>
        <v/>
      </c>
      <c r="C157" s="59">
        <f>IF(B157&lt;&gt;" ",CONCATENATE(A157,B157)," ")</f>
        <v/>
      </c>
      <c r="D157" s="69" t="n"/>
      <c r="E157" s="72" t="n"/>
      <c r="F157" s="72" t="n"/>
      <c r="G157" s="72" t="n"/>
      <c r="H157" s="72" t="n"/>
      <c r="I157" s="72" t="n"/>
      <c r="J157" s="71" t="n"/>
      <c r="K157" s="73" t="n"/>
    </row>
    <row r="158">
      <c r="A158" s="62" t="inlineStr">
        <is>
          <t>P</t>
        </is>
      </c>
      <c r="B158" s="60">
        <f>IF(D158&gt;1/1/2001,B157+1," ")</f>
        <v/>
      </c>
      <c r="C158" s="59">
        <f>IF(B158&lt;&gt;" ",CONCATENATE(A158,B158)," ")</f>
        <v/>
      </c>
      <c r="D158" s="69" t="n"/>
      <c r="E158" s="72" t="n"/>
      <c r="F158" s="72" t="n"/>
      <c r="G158" s="72" t="n"/>
      <c r="H158" s="72" t="n"/>
      <c r="I158" s="72" t="n"/>
      <c r="J158" s="71" t="n"/>
      <c r="K158" s="73" t="n"/>
    </row>
    <row r="159">
      <c r="A159" s="62" t="inlineStr">
        <is>
          <t>P</t>
        </is>
      </c>
      <c r="B159" s="60">
        <f>IF(D159&gt;1/1/2001,B158+1," ")</f>
        <v/>
      </c>
      <c r="C159" s="59">
        <f>IF(B159&lt;&gt;" ",CONCATENATE(A159,B159)," ")</f>
        <v/>
      </c>
      <c r="D159" s="69" t="n"/>
      <c r="E159" s="72" t="n"/>
      <c r="F159" s="72" t="n"/>
      <c r="G159" s="72" t="n"/>
      <c r="H159" s="72" t="n"/>
      <c r="I159" s="72" t="n"/>
      <c r="J159" s="71" t="n"/>
      <c r="K159" s="73" t="n"/>
    </row>
    <row r="160">
      <c r="A160" s="62" t="inlineStr">
        <is>
          <t>P</t>
        </is>
      </c>
      <c r="B160" s="60">
        <f>IF(D160&gt;1/1/2001,B159+1," ")</f>
        <v/>
      </c>
      <c r="C160" s="59">
        <f>IF(B160&lt;&gt;" ",CONCATENATE(A160,B160)," ")</f>
        <v/>
      </c>
      <c r="D160" s="69" t="n"/>
      <c r="E160" s="72" t="n"/>
      <c r="F160" s="72" t="n"/>
      <c r="G160" s="72" t="n"/>
      <c r="H160" s="72" t="n"/>
      <c r="I160" s="72" t="n"/>
      <c r="J160" s="71" t="n"/>
      <c r="K160" s="73" t="n"/>
    </row>
    <row r="161">
      <c r="A161" s="62" t="inlineStr">
        <is>
          <t>P</t>
        </is>
      </c>
      <c r="B161" s="60">
        <f>IF(D161&gt;1/1/2001,B160+1," ")</f>
        <v/>
      </c>
      <c r="C161" s="59">
        <f>IF(B161&lt;&gt;" ",CONCATENATE(A161,B161)," ")</f>
        <v/>
      </c>
      <c r="D161" s="69" t="n"/>
      <c r="E161" s="72" t="n"/>
      <c r="F161" s="72" t="n"/>
      <c r="G161" s="72" t="n"/>
      <c r="H161" s="72" t="n"/>
      <c r="I161" s="72" t="n"/>
      <c r="J161" s="71" t="n"/>
      <c r="K161" s="73" t="n"/>
    </row>
    <row r="162">
      <c r="A162" s="62" t="inlineStr">
        <is>
          <t>P</t>
        </is>
      </c>
      <c r="B162" s="60">
        <f>IF(D162&gt;1/1/2001,B161+1," ")</f>
        <v/>
      </c>
      <c r="C162" s="59">
        <f>IF(B162&lt;&gt;" ",CONCATENATE(A162,B162)," ")</f>
        <v/>
      </c>
      <c r="D162" s="69" t="n"/>
      <c r="E162" s="72" t="n"/>
      <c r="F162" s="72" t="n"/>
      <c r="G162" s="72" t="n"/>
      <c r="H162" s="72" t="n"/>
      <c r="I162" s="72" t="n"/>
      <c r="J162" s="71" t="n"/>
      <c r="K162" s="73" t="n"/>
    </row>
    <row r="163">
      <c r="A163" s="62" t="inlineStr">
        <is>
          <t>P</t>
        </is>
      </c>
      <c r="B163" s="60">
        <f>IF(D163&gt;1/1/2001,B162+1," ")</f>
        <v/>
      </c>
      <c r="C163" s="59">
        <f>IF(B163&lt;&gt;" ",CONCATENATE(A163,B163)," ")</f>
        <v/>
      </c>
      <c r="D163" s="69" t="n"/>
      <c r="E163" s="72" t="n"/>
      <c r="F163" s="72" t="n"/>
      <c r="G163" s="72" t="n"/>
      <c r="H163" s="72" t="n"/>
      <c r="I163" s="72" t="n"/>
      <c r="J163" s="71" t="n"/>
      <c r="K163" s="73" t="n"/>
    </row>
    <row r="164">
      <c r="A164" s="62" t="inlineStr">
        <is>
          <t>P</t>
        </is>
      </c>
      <c r="B164" s="60">
        <f>IF(D164&gt;1/1/2001,B163+1," ")</f>
        <v/>
      </c>
      <c r="C164" s="59">
        <f>IF(B164&lt;&gt;" ",CONCATENATE(A164,B164)," ")</f>
        <v/>
      </c>
      <c r="D164" s="69" t="n"/>
      <c r="E164" s="72" t="n"/>
      <c r="F164" s="72" t="n"/>
      <c r="G164" s="72" t="n"/>
      <c r="H164" s="72" t="n"/>
      <c r="I164" s="72" t="n"/>
      <c r="J164" s="71" t="n"/>
      <c r="K164" s="73" t="n"/>
    </row>
    <row r="165">
      <c r="A165" s="62" t="inlineStr">
        <is>
          <t>P</t>
        </is>
      </c>
      <c r="B165" s="60">
        <f>IF(D165&gt;1/1/2001,B164+1," ")</f>
        <v/>
      </c>
      <c r="C165" s="59">
        <f>IF(B165&lt;&gt;" ",CONCATENATE(A165,B165)," ")</f>
        <v/>
      </c>
      <c r="D165" s="69" t="n"/>
      <c r="E165" s="72" t="n"/>
      <c r="F165" s="72" t="n"/>
      <c r="G165" s="72" t="n"/>
      <c r="H165" s="72" t="n"/>
      <c r="I165" s="72" t="n"/>
      <c r="J165" s="71" t="n"/>
      <c r="K165" s="73" t="n"/>
    </row>
    <row r="166">
      <c r="A166" s="62" t="inlineStr">
        <is>
          <t>P</t>
        </is>
      </c>
      <c r="B166" s="60">
        <f>IF(D166&gt;1/1/2001,B165+1," ")</f>
        <v/>
      </c>
      <c r="C166" s="59">
        <f>IF(B166&lt;&gt;" ",CONCATENATE(A166,B166)," ")</f>
        <v/>
      </c>
      <c r="D166" s="69" t="n"/>
      <c r="E166" s="72" t="n"/>
      <c r="F166" s="72" t="n"/>
      <c r="G166" s="72" t="n"/>
      <c r="H166" s="72" t="n"/>
      <c r="I166" s="72" t="n"/>
      <c r="J166" s="71" t="n"/>
      <c r="K166" s="73" t="n"/>
    </row>
    <row r="167">
      <c r="A167" s="62" t="inlineStr">
        <is>
          <t>P</t>
        </is>
      </c>
      <c r="B167" s="60">
        <f>IF(D167&gt;1/1/2001,B166+1," ")</f>
        <v/>
      </c>
      <c r="C167" s="59">
        <f>IF(B167&lt;&gt;" ",CONCATENATE(A167,B167)," ")</f>
        <v/>
      </c>
      <c r="D167" s="69" t="n"/>
      <c r="E167" s="72" t="n"/>
      <c r="F167" s="72" t="n"/>
      <c r="G167" s="72" t="n"/>
      <c r="H167" s="72" t="n"/>
      <c r="I167" s="72" t="n"/>
      <c r="J167" s="71" t="n"/>
      <c r="K167" s="73" t="n"/>
    </row>
    <row r="168">
      <c r="A168" s="62" t="inlineStr">
        <is>
          <t>P</t>
        </is>
      </c>
      <c r="B168" s="60">
        <f>IF(D168&gt;1/1/2001,B167+1," ")</f>
        <v/>
      </c>
      <c r="C168" s="59">
        <f>IF(B168&lt;&gt;" ",CONCATENATE(A168,B168)," ")</f>
        <v/>
      </c>
      <c r="D168" s="69" t="n"/>
      <c r="E168" s="72" t="n"/>
      <c r="F168" s="72" t="n"/>
      <c r="G168" s="72" t="n"/>
      <c r="H168" s="72" t="n"/>
      <c r="I168" s="72" t="n"/>
      <c r="J168" s="71" t="n"/>
      <c r="K168" s="73" t="n"/>
    </row>
    <row r="169">
      <c r="A169" s="62" t="inlineStr">
        <is>
          <t>P</t>
        </is>
      </c>
      <c r="B169" s="60">
        <f>IF(D169&gt;1/1/2001,B168+1," ")</f>
        <v/>
      </c>
      <c r="C169" s="59">
        <f>IF(B169&lt;&gt;" ",CONCATENATE(A169,B169)," ")</f>
        <v/>
      </c>
      <c r="D169" s="69" t="n"/>
      <c r="E169" s="72" t="n"/>
      <c r="F169" s="72" t="n"/>
      <c r="G169" s="72" t="n"/>
      <c r="H169" s="72" t="n"/>
      <c r="I169" s="72" t="n"/>
      <c r="J169" s="71" t="n"/>
      <c r="K169" s="73" t="n"/>
    </row>
    <row r="170">
      <c r="A170" s="62" t="inlineStr">
        <is>
          <t>P</t>
        </is>
      </c>
      <c r="B170" s="60">
        <f>IF(D170&gt;1/1/2001,B169+1," ")</f>
        <v/>
      </c>
      <c r="C170" s="59">
        <f>IF(B170&lt;&gt;" ",CONCATENATE(A170,B170)," ")</f>
        <v/>
      </c>
      <c r="D170" s="69" t="n"/>
      <c r="E170" s="72" t="n"/>
      <c r="F170" s="72" t="n"/>
      <c r="G170" s="72" t="n"/>
      <c r="H170" s="72" t="n"/>
      <c r="I170" s="72" t="n"/>
      <c r="J170" s="71" t="n"/>
      <c r="K170" s="73" t="n"/>
    </row>
    <row r="171">
      <c r="A171" s="62" t="inlineStr">
        <is>
          <t>P</t>
        </is>
      </c>
      <c r="B171" s="60">
        <f>IF(D171&gt;1/1/2001,B170+1," ")</f>
        <v/>
      </c>
      <c r="C171" s="59">
        <f>IF(B171&lt;&gt;" ",CONCATENATE(A171,B171)," ")</f>
        <v/>
      </c>
      <c r="D171" s="69" t="n"/>
      <c r="E171" s="72" t="n"/>
      <c r="F171" s="72" t="n"/>
      <c r="G171" s="72" t="n"/>
      <c r="H171" s="72" t="n"/>
      <c r="I171" s="72" t="n"/>
      <c r="J171" s="71" t="n"/>
      <c r="K171" s="73" t="n"/>
    </row>
    <row r="172">
      <c r="A172" s="62" t="inlineStr">
        <is>
          <t>P</t>
        </is>
      </c>
      <c r="B172" s="60">
        <f>IF(D172&gt;1/1/2001,B171+1," ")</f>
        <v/>
      </c>
      <c r="C172" s="59">
        <f>IF(B172&lt;&gt;" ",CONCATENATE(A172,B172)," ")</f>
        <v/>
      </c>
      <c r="D172" s="69" t="n"/>
      <c r="E172" s="72" t="n"/>
      <c r="F172" s="72" t="n"/>
      <c r="G172" s="72" t="n"/>
      <c r="H172" s="72" t="n"/>
      <c r="I172" s="72" t="n"/>
      <c r="J172" s="71" t="n"/>
      <c r="K172" s="73" t="n"/>
    </row>
    <row r="173">
      <c r="A173" s="62" t="inlineStr">
        <is>
          <t>P</t>
        </is>
      </c>
      <c r="B173" s="60">
        <f>IF(D173&gt;1/1/2001,B172+1," ")</f>
        <v/>
      </c>
      <c r="C173" s="59">
        <f>IF(B173&lt;&gt;" ",CONCATENATE(A173,B173)," ")</f>
        <v/>
      </c>
      <c r="D173" s="69" t="n"/>
      <c r="E173" s="72" t="n"/>
      <c r="F173" s="72" t="n"/>
      <c r="G173" s="72" t="n"/>
      <c r="H173" s="72" t="n"/>
      <c r="I173" s="72" t="n"/>
      <c r="J173" s="71" t="n"/>
      <c r="K173" s="73" t="n"/>
    </row>
    <row r="174">
      <c r="A174" s="62" t="inlineStr">
        <is>
          <t>P</t>
        </is>
      </c>
      <c r="B174" s="60">
        <f>IF(D174&gt;1/1/2001,B173+1," ")</f>
        <v/>
      </c>
      <c r="C174" s="59">
        <f>IF(B174&lt;&gt;" ",CONCATENATE(A174,B174)," ")</f>
        <v/>
      </c>
      <c r="D174" s="69" t="n"/>
      <c r="E174" s="72" t="n"/>
      <c r="F174" s="72" t="n"/>
      <c r="G174" s="72" t="n"/>
      <c r="H174" s="72" t="n"/>
      <c r="I174" s="72" t="n"/>
      <c r="J174" s="71" t="n"/>
      <c r="K174" s="73" t="n"/>
    </row>
    <row r="175">
      <c r="A175" s="62" t="inlineStr">
        <is>
          <t>P</t>
        </is>
      </c>
      <c r="B175" s="60">
        <f>IF(D175&gt;1/1/2001,B174+1," ")</f>
        <v/>
      </c>
      <c r="C175" s="59">
        <f>IF(B175&lt;&gt;" ",CONCATENATE(A175,B175)," ")</f>
        <v/>
      </c>
      <c r="D175" s="69" t="n"/>
      <c r="E175" s="72" t="n"/>
      <c r="F175" s="72" t="n"/>
      <c r="G175" s="72" t="n"/>
      <c r="H175" s="72" t="n"/>
      <c r="I175" s="72" t="n"/>
      <c r="J175" s="71" t="n"/>
      <c r="K175" s="73" t="n"/>
    </row>
    <row r="176">
      <c r="A176" s="62" t="inlineStr">
        <is>
          <t>P</t>
        </is>
      </c>
      <c r="B176" s="60">
        <f>IF(D176&gt;1/1/2001,B175+1," ")</f>
        <v/>
      </c>
      <c r="C176" s="59">
        <f>IF(B176&lt;&gt;" ",CONCATENATE(A176,B176)," ")</f>
        <v/>
      </c>
      <c r="D176" s="69" t="n"/>
      <c r="E176" s="72" t="n"/>
      <c r="F176" s="72" t="n"/>
      <c r="G176" s="72" t="n"/>
      <c r="H176" s="72" t="n"/>
      <c r="I176" s="72" t="n"/>
      <c r="J176" s="71" t="n"/>
      <c r="K176" s="73" t="n"/>
    </row>
    <row r="177">
      <c r="A177" s="62" t="inlineStr">
        <is>
          <t>P</t>
        </is>
      </c>
      <c r="B177" s="60">
        <f>IF(D177&gt;1/1/2001,B176+1," ")</f>
        <v/>
      </c>
      <c r="C177" s="59">
        <f>IF(B177&lt;&gt;" ",CONCATENATE(A177,B177)," ")</f>
        <v/>
      </c>
      <c r="D177" s="69" t="n"/>
      <c r="E177" s="72" t="n"/>
      <c r="F177" s="72" t="n"/>
      <c r="G177" s="72" t="n"/>
      <c r="H177" s="72" t="n"/>
      <c r="I177" s="72" t="n"/>
      <c r="J177" s="71" t="n"/>
      <c r="K177" s="73" t="n"/>
    </row>
    <row r="178">
      <c r="A178" s="62" t="inlineStr">
        <is>
          <t>P</t>
        </is>
      </c>
      <c r="B178" s="60">
        <f>IF(D178&gt;1/1/2001,B177+1," ")</f>
        <v/>
      </c>
      <c r="C178" s="59">
        <f>IF(B178&lt;&gt;" ",CONCATENATE(A178,B178)," ")</f>
        <v/>
      </c>
      <c r="D178" s="69" t="n"/>
      <c r="E178" s="72" t="n"/>
      <c r="F178" s="72" t="n"/>
      <c r="G178" s="72" t="n"/>
      <c r="H178" s="72" t="n"/>
      <c r="I178" s="72" t="n"/>
      <c r="J178" s="71" t="n"/>
      <c r="K178" s="73" t="n"/>
    </row>
    <row r="179">
      <c r="A179" s="62" t="inlineStr">
        <is>
          <t>P</t>
        </is>
      </c>
      <c r="B179" s="60">
        <f>IF(D179&gt;1/1/2001,B178+1," ")</f>
        <v/>
      </c>
      <c r="C179" s="59">
        <f>IF(B179&lt;&gt;" ",CONCATENATE(A179,B179)," ")</f>
        <v/>
      </c>
      <c r="D179" s="69" t="n"/>
      <c r="E179" s="72" t="n"/>
      <c r="F179" s="72" t="n"/>
      <c r="G179" s="72" t="n"/>
      <c r="H179" s="72" t="n"/>
      <c r="I179" s="72" t="n"/>
      <c r="J179" s="71" t="n"/>
      <c r="K179" s="73" t="n"/>
    </row>
    <row r="180">
      <c r="A180" s="62" t="inlineStr">
        <is>
          <t>P</t>
        </is>
      </c>
      <c r="B180" s="60">
        <f>IF(D180&gt;1/1/2001,B179+1," ")</f>
        <v/>
      </c>
      <c r="C180" s="59">
        <f>IF(B180&lt;&gt;" ",CONCATENATE(A180,B180)," ")</f>
        <v/>
      </c>
      <c r="D180" s="69" t="n"/>
      <c r="E180" s="72" t="n"/>
      <c r="F180" s="72" t="n"/>
      <c r="G180" s="72" t="n"/>
      <c r="H180" s="72" t="n"/>
      <c r="I180" s="72" t="n"/>
      <c r="J180" s="71" t="n"/>
      <c r="K180" s="73" t="n"/>
    </row>
    <row r="181">
      <c r="A181" s="62" t="inlineStr">
        <is>
          <t>P</t>
        </is>
      </c>
      <c r="B181" s="60">
        <f>IF(D181&gt;1/1/2001,B180+1," ")</f>
        <v/>
      </c>
      <c r="C181" s="59">
        <f>IF(B181&lt;&gt;" ",CONCATENATE(A181,B181)," ")</f>
        <v/>
      </c>
      <c r="D181" s="69" t="n"/>
      <c r="E181" s="72" t="n"/>
      <c r="F181" s="72" t="n"/>
      <c r="G181" s="72" t="n"/>
      <c r="H181" s="72" t="n"/>
      <c r="I181" s="72" t="n"/>
      <c r="J181" s="71" t="n"/>
      <c r="K181" s="73" t="n"/>
    </row>
    <row r="182">
      <c r="A182" s="62" t="inlineStr">
        <is>
          <t>P</t>
        </is>
      </c>
      <c r="B182" s="60">
        <f>IF(D182&gt;1/1/2001,B181+1," ")</f>
        <v/>
      </c>
      <c r="C182" s="59">
        <f>IF(B182&lt;&gt;" ",CONCATENATE(A182,B182)," ")</f>
        <v/>
      </c>
      <c r="D182" s="69" t="n"/>
      <c r="E182" s="72" t="n"/>
      <c r="F182" s="72" t="n"/>
      <c r="G182" s="72" t="n"/>
      <c r="H182" s="72" t="n"/>
      <c r="I182" s="72" t="n"/>
      <c r="J182" s="71" t="n"/>
      <c r="K182" s="73" t="n"/>
    </row>
    <row r="183">
      <c r="A183" s="62" t="inlineStr">
        <is>
          <t>P</t>
        </is>
      </c>
      <c r="B183" s="60">
        <f>IF(D183&gt;1/1/2001,B182+1," ")</f>
        <v/>
      </c>
      <c r="C183" s="59">
        <f>IF(B183&lt;&gt;" ",CONCATENATE(A183,B183)," ")</f>
        <v/>
      </c>
      <c r="D183" s="69" t="n"/>
      <c r="E183" s="72" t="n"/>
      <c r="F183" s="72" t="n"/>
      <c r="G183" s="72" t="n"/>
      <c r="H183" s="72" t="n"/>
      <c r="I183" s="72" t="n"/>
      <c r="J183" s="71" t="n"/>
      <c r="K183" s="73" t="n"/>
    </row>
    <row r="184">
      <c r="A184" s="62" t="inlineStr">
        <is>
          <t>P</t>
        </is>
      </c>
      <c r="B184" s="60">
        <f>IF(D184&gt;1/1/2001,B183+1," ")</f>
        <v/>
      </c>
      <c r="C184" s="59">
        <f>IF(B184&lt;&gt;" ",CONCATENATE(A184,B184)," ")</f>
        <v/>
      </c>
      <c r="D184" s="69" t="n"/>
      <c r="E184" s="72" t="n"/>
      <c r="F184" s="72" t="n"/>
      <c r="G184" s="72" t="n"/>
      <c r="H184" s="72" t="n"/>
      <c r="I184" s="72" t="n"/>
      <c r="J184" s="71" t="n"/>
      <c r="K184" s="73" t="n"/>
    </row>
    <row r="185">
      <c r="A185" s="62" t="inlineStr">
        <is>
          <t>P</t>
        </is>
      </c>
      <c r="B185" s="60">
        <f>IF(D185&gt;1/1/2001,B184+1," ")</f>
        <v/>
      </c>
      <c r="C185" s="59">
        <f>IF(B185&lt;&gt;" ",CONCATENATE(A185,B185)," ")</f>
        <v/>
      </c>
      <c r="D185" s="69" t="n"/>
      <c r="E185" s="72" t="n"/>
      <c r="F185" s="72" t="n"/>
      <c r="G185" s="72" t="n"/>
      <c r="H185" s="72" t="n"/>
      <c r="I185" s="72" t="n"/>
      <c r="J185" s="71" t="n"/>
      <c r="K185" s="73" t="n"/>
    </row>
    <row r="186">
      <c r="A186" s="62" t="inlineStr">
        <is>
          <t>P</t>
        </is>
      </c>
      <c r="B186" s="60">
        <f>IF(D186&gt;1/1/2001,B185+1," ")</f>
        <v/>
      </c>
      <c r="C186" s="59">
        <f>IF(B186&lt;&gt;" ",CONCATENATE(A186,B186)," ")</f>
        <v/>
      </c>
      <c r="D186" s="69" t="n"/>
      <c r="E186" s="72" t="n"/>
      <c r="F186" s="72" t="n"/>
      <c r="G186" s="72" t="n"/>
      <c r="H186" s="72" t="n"/>
      <c r="I186" s="72" t="n"/>
      <c r="J186" s="71" t="n"/>
      <c r="K186" s="73" t="n"/>
    </row>
    <row r="187">
      <c r="A187" s="62" t="inlineStr">
        <is>
          <t>P</t>
        </is>
      </c>
      <c r="B187" s="60">
        <f>IF(D187&gt;1/1/2001,B186+1," ")</f>
        <v/>
      </c>
      <c r="C187" s="59">
        <f>IF(B187&lt;&gt;" ",CONCATENATE(A187,B187)," ")</f>
        <v/>
      </c>
      <c r="D187" s="69" t="n"/>
      <c r="E187" s="72" t="n"/>
      <c r="F187" s="72" t="n"/>
      <c r="G187" s="72" t="n"/>
      <c r="H187" s="72" t="n"/>
      <c r="I187" s="72" t="n"/>
      <c r="J187" s="71" t="n"/>
      <c r="K187" s="73" t="n"/>
    </row>
    <row r="188">
      <c r="A188" s="62" t="inlineStr">
        <is>
          <t>P</t>
        </is>
      </c>
      <c r="B188" s="60">
        <f>IF(D188&gt;1/1/2001,B187+1," ")</f>
        <v/>
      </c>
      <c r="C188" s="59">
        <f>IF(B188&lt;&gt;" ",CONCATENATE(A188,B188)," ")</f>
        <v/>
      </c>
      <c r="D188" s="69" t="n"/>
      <c r="E188" s="72" t="n"/>
      <c r="F188" s="72" t="n"/>
      <c r="G188" s="72" t="n"/>
      <c r="H188" s="72" t="n"/>
      <c r="I188" s="72" t="n"/>
      <c r="J188" s="71" t="n"/>
      <c r="K188" s="73" t="n"/>
    </row>
    <row r="189">
      <c r="A189" s="62" t="inlineStr">
        <is>
          <t>P</t>
        </is>
      </c>
      <c r="B189" s="60">
        <f>IF(D189&gt;1/1/2001,B188+1," ")</f>
        <v/>
      </c>
      <c r="C189" s="59">
        <f>IF(B189&lt;&gt;" ",CONCATENATE(A189,B189)," ")</f>
        <v/>
      </c>
      <c r="D189" s="69" t="n"/>
      <c r="E189" s="72" t="n"/>
      <c r="F189" s="72" t="n"/>
      <c r="G189" s="72" t="n"/>
      <c r="H189" s="72" t="n"/>
      <c r="I189" s="72" t="n"/>
      <c r="J189" s="71" t="n"/>
      <c r="K189" s="73" t="n"/>
    </row>
    <row r="190">
      <c r="A190" s="62" t="inlineStr">
        <is>
          <t>P</t>
        </is>
      </c>
      <c r="B190" s="60">
        <f>IF(D190&gt;1/1/2001,B189+1," ")</f>
        <v/>
      </c>
      <c r="C190" s="59">
        <f>IF(B190&lt;&gt;" ",CONCATENATE(A190,B190)," ")</f>
        <v/>
      </c>
      <c r="D190" s="69" t="n"/>
      <c r="E190" s="72" t="n"/>
      <c r="F190" s="72" t="n"/>
      <c r="G190" s="72" t="n"/>
      <c r="H190" s="72" t="n"/>
      <c r="I190" s="72" t="n"/>
      <c r="J190" s="71" t="n"/>
      <c r="K190" s="73" t="n"/>
    </row>
    <row r="191">
      <c r="A191" s="62" t="inlineStr">
        <is>
          <t>P</t>
        </is>
      </c>
      <c r="B191" s="60">
        <f>IF(D191&gt;1/1/2001,B190+1," ")</f>
        <v/>
      </c>
      <c r="C191" s="59">
        <f>IF(B191&lt;&gt;" ",CONCATENATE(A191,B191)," ")</f>
        <v/>
      </c>
      <c r="D191" s="69" t="n"/>
      <c r="E191" s="72" t="n"/>
      <c r="F191" s="72" t="n"/>
      <c r="G191" s="72" t="n"/>
      <c r="H191" s="72" t="n"/>
      <c r="I191" s="72" t="n"/>
      <c r="J191" s="71" t="n"/>
      <c r="K191" s="73" t="n"/>
    </row>
    <row r="192">
      <c r="A192" s="62" t="inlineStr">
        <is>
          <t>P</t>
        </is>
      </c>
      <c r="B192" s="60">
        <f>IF(D192&gt;1/1/2001,B191+1," ")</f>
        <v/>
      </c>
      <c r="C192" s="59">
        <f>IF(B192&lt;&gt;" ",CONCATENATE(A192,B192)," ")</f>
        <v/>
      </c>
      <c r="D192" s="69" t="n"/>
      <c r="E192" s="72" t="n"/>
      <c r="F192" s="72" t="n"/>
      <c r="G192" s="72" t="n"/>
      <c r="H192" s="72" t="n"/>
      <c r="I192" s="72" t="n"/>
      <c r="J192" s="71" t="n"/>
      <c r="K192" s="73" t="n"/>
    </row>
    <row r="193">
      <c r="A193" s="62" t="inlineStr">
        <is>
          <t>P</t>
        </is>
      </c>
      <c r="B193" s="60">
        <f>IF(D193&gt;1/1/2001,B192+1," ")</f>
        <v/>
      </c>
      <c r="C193" s="59">
        <f>IF(B193&lt;&gt;" ",CONCATENATE(A193,B193)," ")</f>
        <v/>
      </c>
      <c r="D193" s="69" t="n"/>
      <c r="E193" s="72" t="n"/>
      <c r="F193" s="72" t="n"/>
      <c r="G193" s="72" t="n"/>
      <c r="H193" s="72" t="n"/>
      <c r="I193" s="72" t="n"/>
      <c r="J193" s="71" t="n"/>
      <c r="K193" s="73" t="n"/>
    </row>
    <row r="194">
      <c r="A194" s="62" t="inlineStr">
        <is>
          <t>P</t>
        </is>
      </c>
      <c r="B194" s="60">
        <f>IF(D194&gt;1/1/2001,B193+1," ")</f>
        <v/>
      </c>
      <c r="C194" s="59">
        <f>IF(B194&lt;&gt;" ",CONCATENATE(A194,B194)," ")</f>
        <v/>
      </c>
      <c r="D194" s="69" t="n"/>
      <c r="E194" s="72" t="n"/>
      <c r="F194" s="72" t="n"/>
      <c r="G194" s="72" t="n"/>
      <c r="H194" s="72" t="n"/>
      <c r="I194" s="72" t="n"/>
      <c r="J194" s="71" t="n"/>
      <c r="K194" s="73" t="n"/>
    </row>
    <row r="195">
      <c r="A195" s="62" t="inlineStr">
        <is>
          <t>P</t>
        </is>
      </c>
      <c r="B195" s="60">
        <f>IF(D195&gt;1/1/2001,B194+1," ")</f>
        <v/>
      </c>
      <c r="C195" s="59">
        <f>IF(B195&lt;&gt;" ",CONCATENATE(A195,B195)," ")</f>
        <v/>
      </c>
      <c r="D195" s="69" t="n"/>
      <c r="E195" s="72" t="n"/>
      <c r="F195" s="72" t="n"/>
      <c r="G195" s="72" t="n"/>
      <c r="H195" s="72" t="n"/>
      <c r="I195" s="72" t="n"/>
      <c r="J195" s="71" t="n"/>
      <c r="K195" s="73" t="n"/>
    </row>
    <row r="196">
      <c r="A196" s="62" t="inlineStr">
        <is>
          <t>P</t>
        </is>
      </c>
      <c r="B196" s="60">
        <f>IF(D196&gt;1/1/2001,B195+1," ")</f>
        <v/>
      </c>
      <c r="C196" s="59">
        <f>IF(B196&lt;&gt;" ",CONCATENATE(A196,B196)," ")</f>
        <v/>
      </c>
      <c r="D196" s="69" t="n"/>
      <c r="E196" s="72" t="n"/>
      <c r="F196" s="72" t="n"/>
      <c r="G196" s="72" t="n"/>
      <c r="H196" s="72" t="n"/>
      <c r="I196" s="72" t="n"/>
      <c r="J196" s="71" t="n"/>
      <c r="K196" s="73" t="n"/>
    </row>
    <row r="197">
      <c r="A197" s="62" t="inlineStr">
        <is>
          <t>P</t>
        </is>
      </c>
      <c r="B197" s="60">
        <f>IF(D197&gt;1/1/2001,B196+1," ")</f>
        <v/>
      </c>
      <c r="C197" s="59">
        <f>IF(B197&lt;&gt;" ",CONCATENATE(A197,B197)," ")</f>
        <v/>
      </c>
      <c r="D197" s="69" t="n"/>
      <c r="E197" s="72" t="n"/>
      <c r="F197" s="72" t="n"/>
      <c r="G197" s="72" t="n"/>
      <c r="H197" s="72" t="n"/>
      <c r="I197" s="72" t="n"/>
      <c r="J197" s="71" t="n"/>
      <c r="K197" s="73" t="n"/>
    </row>
    <row r="198">
      <c r="A198" s="62" t="inlineStr">
        <is>
          <t>P</t>
        </is>
      </c>
      <c r="B198" s="60">
        <f>IF(D198&gt;1/1/2001,B197+1," ")</f>
        <v/>
      </c>
      <c r="C198" s="59">
        <f>IF(B198&lt;&gt;" ",CONCATENATE(A198,B198)," ")</f>
        <v/>
      </c>
      <c r="D198" s="69" t="n"/>
      <c r="E198" s="72" t="n"/>
      <c r="F198" s="72" t="n"/>
      <c r="G198" s="72" t="n"/>
      <c r="H198" s="72" t="n"/>
      <c r="I198" s="72" t="n"/>
      <c r="J198" s="71" t="n"/>
      <c r="K198" s="73" t="n"/>
    </row>
    <row r="199">
      <c r="A199" s="62" t="inlineStr">
        <is>
          <t>P</t>
        </is>
      </c>
      <c r="B199" s="60">
        <f>IF(D199&gt;1/1/2001,B198+1," ")</f>
        <v/>
      </c>
      <c r="C199" s="59">
        <f>IF(B199&lt;&gt;" ",CONCATENATE(A199,B199)," ")</f>
        <v/>
      </c>
      <c r="D199" s="69" t="n"/>
      <c r="E199" s="72" t="n"/>
      <c r="F199" s="72" t="n"/>
      <c r="G199" s="72" t="n"/>
      <c r="H199" s="72" t="n"/>
      <c r="I199" s="72" t="n"/>
      <c r="J199" s="71" t="n"/>
      <c r="K199" s="73" t="n"/>
    </row>
    <row r="200">
      <c r="A200" s="62" t="inlineStr">
        <is>
          <t>P</t>
        </is>
      </c>
      <c r="B200" s="60">
        <f>IF(D200&gt;1/1/2001,B199+1," ")</f>
        <v/>
      </c>
      <c r="C200" s="59">
        <f>IF(B200&lt;&gt;" ",CONCATENATE(A200,B200)," ")</f>
        <v/>
      </c>
      <c r="D200" s="69" t="n"/>
      <c r="E200" s="72" t="n"/>
      <c r="F200" s="72" t="n"/>
      <c r="G200" s="72" t="n"/>
      <c r="H200" s="72" t="n"/>
      <c r="I200" s="72" t="n"/>
      <c r="J200" s="71" t="n"/>
      <c r="K200" s="73" t="n"/>
    </row>
    <row r="201">
      <c r="A201" s="62" t="inlineStr">
        <is>
          <t>P</t>
        </is>
      </c>
      <c r="B201" s="60">
        <f>IF(D201&gt;1/1/2001,B200+1," ")</f>
        <v/>
      </c>
      <c r="C201" s="59">
        <f>IF(B201&lt;&gt;" ",CONCATENATE(A201,B201)," ")</f>
        <v/>
      </c>
      <c r="D201" s="69" t="n"/>
      <c r="E201" s="72" t="n"/>
      <c r="F201" s="72" t="n"/>
      <c r="G201" s="72" t="n"/>
      <c r="H201" s="72" t="n"/>
      <c r="I201" s="72" t="n"/>
      <c r="J201" s="71" t="n"/>
      <c r="K201" s="73" t="n"/>
    </row>
    <row r="202">
      <c r="A202" s="62" t="inlineStr">
        <is>
          <t>P</t>
        </is>
      </c>
      <c r="B202" s="60">
        <f>IF(D202&gt;1/1/2001,B201+1," ")</f>
        <v/>
      </c>
      <c r="C202" s="59">
        <f>IF(B202&lt;&gt;" ",CONCATENATE(A202,B202)," ")</f>
        <v/>
      </c>
      <c r="D202" s="69" t="n"/>
      <c r="E202" s="72" t="n"/>
      <c r="F202" s="72" t="n"/>
      <c r="G202" s="72" t="n"/>
      <c r="H202" s="72" t="n"/>
      <c r="I202" s="72" t="n"/>
      <c r="J202" s="71" t="n"/>
      <c r="K202" s="73" t="n"/>
    </row>
    <row r="203">
      <c r="A203" s="62" t="inlineStr">
        <is>
          <t>P</t>
        </is>
      </c>
      <c r="B203" s="60">
        <f>IF(D203&gt;1/1/2001,B202+1," ")</f>
        <v/>
      </c>
      <c r="C203" s="59">
        <f>IF(B203&lt;&gt;" ",CONCATENATE(A203,B203)," ")</f>
        <v/>
      </c>
      <c r="D203" s="69" t="n"/>
      <c r="E203" s="72" t="n"/>
      <c r="F203" s="72" t="n"/>
      <c r="G203" s="72" t="n"/>
      <c r="H203" s="72" t="n"/>
      <c r="I203" s="72" t="n"/>
      <c r="J203" s="71" t="n"/>
      <c r="K203" s="73" t="n"/>
    </row>
    <row r="204">
      <c r="A204" s="62" t="inlineStr">
        <is>
          <t>P</t>
        </is>
      </c>
      <c r="B204" s="60">
        <f>IF(D204&gt;1/1/2001,B203+1," ")</f>
        <v/>
      </c>
      <c r="C204" s="59">
        <f>IF(B204&lt;&gt;" ",CONCATENATE(A204,B204)," ")</f>
        <v/>
      </c>
      <c r="D204" s="69" t="n"/>
      <c r="E204" s="72" t="n"/>
      <c r="F204" s="72" t="n"/>
      <c r="G204" s="72" t="n"/>
      <c r="H204" s="72" t="n"/>
      <c r="I204" s="72" t="n"/>
      <c r="J204" s="71" t="n"/>
      <c r="K204" s="73" t="n"/>
    </row>
    <row r="205">
      <c r="A205" s="62" t="inlineStr">
        <is>
          <t>P</t>
        </is>
      </c>
      <c r="B205" s="60">
        <f>IF(D205&gt;1/1/2001,B204+1," ")</f>
        <v/>
      </c>
      <c r="C205" s="59">
        <f>IF(B205&lt;&gt;" ",CONCATENATE(A205,B205)," ")</f>
        <v/>
      </c>
      <c r="D205" s="69" t="n"/>
      <c r="E205" s="72" t="n"/>
      <c r="F205" s="72" t="n"/>
      <c r="G205" s="72" t="n"/>
      <c r="H205" s="72" t="n"/>
      <c r="I205" s="72" t="n"/>
      <c r="J205" s="71" t="n"/>
      <c r="K205" s="73" t="n"/>
    </row>
    <row r="206">
      <c r="A206" s="62" t="inlineStr">
        <is>
          <t>P</t>
        </is>
      </c>
      <c r="B206" s="60">
        <f>IF(D206&gt;1/1/2001,B205+1," ")</f>
        <v/>
      </c>
      <c r="C206" s="59">
        <f>IF(B206&lt;&gt;" ",CONCATENATE(A206,B206)," ")</f>
        <v/>
      </c>
      <c r="D206" s="69" t="n"/>
      <c r="E206" s="72" t="n"/>
      <c r="F206" s="72" t="n"/>
      <c r="G206" s="72" t="n"/>
      <c r="H206" s="72" t="n"/>
      <c r="I206" s="72" t="n"/>
      <c r="J206" s="71" t="n"/>
      <c r="K206" s="73" t="n"/>
    </row>
    <row r="207">
      <c r="A207" s="62" t="inlineStr">
        <is>
          <t>P</t>
        </is>
      </c>
      <c r="B207" s="60">
        <f>IF(D207&gt;1/1/2001,B206+1," ")</f>
        <v/>
      </c>
      <c r="C207" s="59">
        <f>IF(B207&lt;&gt;" ",CONCATENATE(A207,B207)," ")</f>
        <v/>
      </c>
      <c r="D207" s="69" t="n"/>
      <c r="E207" s="72" t="n"/>
      <c r="F207" s="72" t="n"/>
      <c r="G207" s="72" t="n"/>
      <c r="H207" s="72" t="n"/>
      <c r="I207" s="72" t="n"/>
      <c r="J207" s="71" t="n"/>
      <c r="K207" s="73" t="n"/>
    </row>
    <row r="208">
      <c r="A208" s="62" t="inlineStr">
        <is>
          <t>P</t>
        </is>
      </c>
      <c r="B208" s="60">
        <f>IF(D208&gt;1/1/2001,B207+1," ")</f>
        <v/>
      </c>
      <c r="C208" s="59">
        <f>IF(B208&lt;&gt;" ",CONCATENATE(A208,B208)," ")</f>
        <v/>
      </c>
      <c r="D208" s="69" t="n"/>
      <c r="E208" s="72" t="n"/>
      <c r="F208" s="72" t="n"/>
      <c r="G208" s="72" t="n"/>
      <c r="H208" s="72" t="n"/>
      <c r="I208" s="72" t="n"/>
      <c r="J208" s="71" t="n"/>
      <c r="K208" s="73" t="n"/>
    </row>
    <row r="209">
      <c r="A209" s="62" t="inlineStr">
        <is>
          <t>P</t>
        </is>
      </c>
      <c r="B209" s="60">
        <f>IF(D209&gt;1/1/2001,B208+1," ")</f>
        <v/>
      </c>
      <c r="C209" s="59">
        <f>IF(B209&lt;&gt;" ",CONCATENATE(A209,B209)," ")</f>
        <v/>
      </c>
      <c r="D209" s="69" t="n"/>
      <c r="E209" s="72" t="n"/>
      <c r="F209" s="72" t="n"/>
      <c r="G209" s="72" t="n"/>
      <c r="H209" s="72" t="n"/>
      <c r="I209" s="72" t="n"/>
      <c r="J209" s="71" t="n"/>
      <c r="K209" s="73" t="n"/>
    </row>
    <row r="210">
      <c r="A210" s="62" t="inlineStr">
        <is>
          <t>P</t>
        </is>
      </c>
      <c r="B210" s="60">
        <f>IF(D210&gt;1/1/2001,B209+1," ")</f>
        <v/>
      </c>
      <c r="C210" s="59">
        <f>IF(B210&lt;&gt;" ",CONCATENATE(A210,B210)," ")</f>
        <v/>
      </c>
      <c r="D210" s="69" t="n"/>
      <c r="E210" s="72" t="n"/>
      <c r="F210" s="72" t="n"/>
      <c r="G210" s="72" t="n"/>
      <c r="H210" s="72" t="n"/>
      <c r="I210" s="72" t="n"/>
      <c r="J210" s="71" t="n"/>
      <c r="K210" s="73" t="n"/>
    </row>
    <row r="211">
      <c r="A211" s="62" t="inlineStr">
        <is>
          <t>P</t>
        </is>
      </c>
      <c r="B211" s="60">
        <f>IF(D211&gt;1/1/2001,B210+1," ")</f>
        <v/>
      </c>
      <c r="C211" s="59">
        <f>IF(B211&lt;&gt;" ",CONCATENATE(A211,B211)," ")</f>
        <v/>
      </c>
      <c r="D211" s="69" t="n"/>
      <c r="E211" s="72" t="n"/>
      <c r="F211" s="72" t="n"/>
      <c r="G211" s="72" t="n"/>
      <c r="H211" s="72" t="n"/>
      <c r="I211" s="72" t="n"/>
      <c r="J211" s="71" t="n"/>
      <c r="K211" s="73" t="n"/>
    </row>
    <row r="212">
      <c r="A212" s="62" t="inlineStr">
        <is>
          <t>P</t>
        </is>
      </c>
      <c r="B212" s="60">
        <f>IF(D212&gt;1/1/2001,B211+1," ")</f>
        <v/>
      </c>
      <c r="C212" s="59">
        <f>IF(B212&lt;&gt;" ",CONCATENATE(A212,B212)," ")</f>
        <v/>
      </c>
      <c r="D212" s="69" t="n"/>
      <c r="E212" s="72" t="n"/>
      <c r="F212" s="72" t="n"/>
      <c r="G212" s="72" t="n"/>
      <c r="H212" s="72" t="n"/>
      <c r="I212" s="72" t="n"/>
      <c r="J212" s="71" t="n"/>
      <c r="K212" s="73" t="n"/>
    </row>
    <row r="213">
      <c r="A213" s="62" t="inlineStr">
        <is>
          <t>P</t>
        </is>
      </c>
      <c r="B213" s="60">
        <f>IF(D213&gt;1/1/2001,B212+1," ")</f>
        <v/>
      </c>
      <c r="C213" s="59">
        <f>IF(B213&lt;&gt;" ",CONCATENATE(A213,B213)," ")</f>
        <v/>
      </c>
      <c r="D213" s="69" t="n"/>
      <c r="E213" s="72" t="n"/>
      <c r="F213" s="72" t="n"/>
      <c r="G213" s="72" t="n"/>
      <c r="H213" s="72" t="n"/>
      <c r="I213" s="72" t="n"/>
      <c r="J213" s="71" t="n"/>
      <c r="K213" s="73" t="n"/>
    </row>
    <row r="214">
      <c r="A214" s="62" t="inlineStr">
        <is>
          <t>P</t>
        </is>
      </c>
      <c r="B214" s="60">
        <f>IF(D214&gt;1/1/2001,B213+1," ")</f>
        <v/>
      </c>
      <c r="C214" s="59">
        <f>IF(B214&lt;&gt;" ",CONCATENATE(A214,B214)," ")</f>
        <v/>
      </c>
      <c r="D214" s="69" t="n"/>
      <c r="E214" s="72" t="n"/>
      <c r="F214" s="72" t="n"/>
      <c r="G214" s="72" t="n"/>
      <c r="H214" s="72" t="n"/>
      <c r="I214" s="72" t="n"/>
      <c r="J214" s="71" t="n"/>
      <c r="K214" s="73" t="n"/>
    </row>
    <row r="215">
      <c r="A215" s="62" t="inlineStr">
        <is>
          <t>P</t>
        </is>
      </c>
      <c r="B215" s="60">
        <f>IF(D215&gt;1/1/2001,B214+1," ")</f>
        <v/>
      </c>
      <c r="C215" s="59">
        <f>IF(B215&lt;&gt;" ",CONCATENATE(A215,B215)," ")</f>
        <v/>
      </c>
      <c r="D215" s="69" t="n"/>
      <c r="E215" s="72" t="n"/>
      <c r="F215" s="72" t="n"/>
      <c r="G215" s="72" t="n"/>
      <c r="H215" s="72" t="n"/>
      <c r="I215" s="72" t="n"/>
      <c r="J215" s="71" t="n"/>
      <c r="K215" s="73" t="n"/>
    </row>
    <row r="216">
      <c r="A216" s="62" t="inlineStr">
        <is>
          <t>P</t>
        </is>
      </c>
      <c r="B216" s="60">
        <f>IF(D216&gt;1/1/2001,B215+1," ")</f>
        <v/>
      </c>
      <c r="C216" s="59">
        <f>IF(B216&lt;&gt;" ",CONCATENATE(A216,B216)," ")</f>
        <v/>
      </c>
      <c r="D216" s="69" t="n"/>
      <c r="E216" s="72" t="n"/>
      <c r="F216" s="72" t="n"/>
      <c r="G216" s="72" t="n"/>
      <c r="H216" s="72" t="n"/>
      <c r="I216" s="72" t="n"/>
      <c r="J216" s="71" t="n"/>
      <c r="K216" s="73" t="n"/>
    </row>
    <row r="217">
      <c r="A217" s="62" t="inlineStr">
        <is>
          <t>P</t>
        </is>
      </c>
      <c r="B217" s="60">
        <f>IF(D217&gt;1/1/2001,B216+1," ")</f>
        <v/>
      </c>
      <c r="C217" s="59">
        <f>IF(B217&lt;&gt;" ",CONCATENATE(A217,B217)," ")</f>
        <v/>
      </c>
      <c r="D217" s="69" t="n"/>
      <c r="E217" s="72" t="n"/>
      <c r="F217" s="72" t="n"/>
      <c r="G217" s="72" t="n"/>
      <c r="H217" s="72" t="n"/>
      <c r="I217" s="72" t="n"/>
      <c r="J217" s="71" t="n"/>
      <c r="K217" s="73" t="n"/>
    </row>
    <row r="218">
      <c r="A218" s="62" t="inlineStr">
        <is>
          <t>P</t>
        </is>
      </c>
      <c r="B218" s="60">
        <f>IF(D218&gt;1/1/2001,B217+1," ")</f>
        <v/>
      </c>
      <c r="C218" s="59">
        <f>IF(B218&lt;&gt;" ",CONCATENATE(A218,B218)," ")</f>
        <v/>
      </c>
      <c r="D218" s="69" t="n"/>
      <c r="E218" s="72" t="n"/>
      <c r="F218" s="72" t="n"/>
      <c r="G218" s="72" t="n"/>
      <c r="H218" s="72" t="n"/>
      <c r="I218" s="72" t="n"/>
      <c r="J218" s="71" t="n"/>
      <c r="K218" s="73" t="n"/>
    </row>
    <row r="219">
      <c r="A219" s="62" t="inlineStr">
        <is>
          <t>P</t>
        </is>
      </c>
      <c r="B219" s="60">
        <f>IF(D219&gt;1/1/2001,B218+1," ")</f>
        <v/>
      </c>
      <c r="C219" s="59">
        <f>IF(B219&lt;&gt;" ",CONCATENATE(A219,B219)," ")</f>
        <v/>
      </c>
      <c r="D219" s="69" t="n"/>
      <c r="E219" s="72" t="n"/>
      <c r="F219" s="72" t="n"/>
      <c r="G219" s="72" t="n"/>
      <c r="H219" s="72" t="n"/>
      <c r="I219" s="72" t="n"/>
      <c r="J219" s="71" t="n"/>
      <c r="K219" s="73" t="n"/>
    </row>
    <row r="220">
      <c r="A220" s="62" t="inlineStr">
        <is>
          <t>P</t>
        </is>
      </c>
      <c r="B220" s="60">
        <f>IF(D220&gt;1/1/2001,B219+1," ")</f>
        <v/>
      </c>
      <c r="C220" s="59">
        <f>IF(B220&lt;&gt;" ",CONCATENATE(A220,B220)," ")</f>
        <v/>
      </c>
      <c r="D220" s="69" t="n"/>
      <c r="E220" s="72" t="n"/>
      <c r="F220" s="72" t="n"/>
      <c r="G220" s="72" t="n"/>
      <c r="H220" s="72" t="n"/>
      <c r="I220" s="72" t="n"/>
      <c r="J220" s="71" t="n"/>
      <c r="K220" s="73" t="n"/>
    </row>
    <row r="221">
      <c r="A221" s="62" t="inlineStr">
        <is>
          <t>P</t>
        </is>
      </c>
      <c r="B221" s="60">
        <f>IF(D221&gt;1/1/2001,B220+1," ")</f>
        <v/>
      </c>
      <c r="C221" s="59">
        <f>IF(B221&lt;&gt;" ",CONCATENATE(A221,B221)," ")</f>
        <v/>
      </c>
      <c r="D221" s="69" t="n"/>
      <c r="E221" s="72" t="n"/>
      <c r="F221" s="72" t="n"/>
      <c r="G221" s="72" t="n"/>
      <c r="H221" s="72" t="n"/>
      <c r="I221" s="72" t="n"/>
      <c r="J221" s="71" t="n"/>
      <c r="K221" s="73" t="n"/>
    </row>
    <row r="222">
      <c r="A222" s="62" t="inlineStr">
        <is>
          <t>P</t>
        </is>
      </c>
      <c r="B222" s="60">
        <f>IF(D222&gt;1/1/2001,B221+1," ")</f>
        <v/>
      </c>
      <c r="C222" s="59">
        <f>IF(B222&lt;&gt;" ",CONCATENATE(A222,B222)," ")</f>
        <v/>
      </c>
      <c r="D222" s="69" t="n"/>
      <c r="E222" s="72" t="n"/>
      <c r="F222" s="72" t="n"/>
      <c r="G222" s="72" t="n"/>
      <c r="H222" s="72" t="n"/>
      <c r="I222" s="72" t="n"/>
      <c r="J222" s="71" t="n"/>
      <c r="K222" s="73" t="n"/>
    </row>
    <row r="223">
      <c r="A223" s="62" t="inlineStr">
        <is>
          <t>P</t>
        </is>
      </c>
      <c r="B223" s="60">
        <f>IF(D223&gt;1/1/2001,B222+1," ")</f>
        <v/>
      </c>
      <c r="C223" s="59">
        <f>IF(B223&lt;&gt;" ",CONCATENATE(A223,B223)," ")</f>
        <v/>
      </c>
      <c r="D223" s="69" t="n"/>
      <c r="E223" s="72" t="n"/>
      <c r="F223" s="72" t="n"/>
      <c r="G223" s="72" t="n"/>
      <c r="H223" s="72" t="n"/>
      <c r="I223" s="72" t="n"/>
      <c r="J223" s="71" t="n"/>
      <c r="K223" s="73" t="n"/>
    </row>
    <row r="224">
      <c r="A224" s="62" t="inlineStr">
        <is>
          <t>P</t>
        </is>
      </c>
      <c r="B224" s="60">
        <f>IF(D224&gt;1/1/2001,B223+1," ")</f>
        <v/>
      </c>
      <c r="C224" s="59">
        <f>IF(B224&lt;&gt;" ",CONCATENATE(A224,B224)," ")</f>
        <v/>
      </c>
      <c r="D224" s="69" t="n"/>
      <c r="E224" s="72" t="n"/>
      <c r="F224" s="72" t="n"/>
      <c r="G224" s="72" t="n"/>
      <c r="H224" s="72" t="n"/>
      <c r="I224" s="72" t="n"/>
      <c r="J224" s="71" t="n"/>
      <c r="K224" s="73" t="n"/>
    </row>
    <row r="225">
      <c r="A225" s="62" t="inlineStr">
        <is>
          <t>P</t>
        </is>
      </c>
      <c r="B225" s="60">
        <f>IF(D225&gt;1/1/2001,B224+1," ")</f>
        <v/>
      </c>
      <c r="C225" s="59">
        <f>IF(B225&lt;&gt;" ",CONCATENATE(A225,B225)," ")</f>
        <v/>
      </c>
      <c r="D225" s="69" t="n"/>
      <c r="E225" s="72" t="n"/>
      <c r="F225" s="72" t="n"/>
      <c r="G225" s="72" t="n"/>
      <c r="H225" s="72" t="n"/>
      <c r="I225" s="72" t="n"/>
      <c r="J225" s="71" t="n"/>
      <c r="K225" s="73" t="n"/>
    </row>
    <row r="226">
      <c r="A226" s="62" t="inlineStr">
        <is>
          <t>P</t>
        </is>
      </c>
      <c r="B226" s="60">
        <f>IF(D226&gt;1/1/2001,B225+1," ")</f>
        <v/>
      </c>
      <c r="C226" s="59">
        <f>IF(B226&lt;&gt;" ",CONCATENATE(A226,B226)," ")</f>
        <v/>
      </c>
      <c r="D226" s="69" t="n"/>
      <c r="E226" s="72" t="n"/>
      <c r="F226" s="72" t="n"/>
      <c r="G226" s="72" t="n"/>
      <c r="H226" s="72" t="n"/>
      <c r="I226" s="72" t="n"/>
      <c r="J226" s="71" t="n"/>
      <c r="K226" s="73" t="n"/>
    </row>
    <row r="227">
      <c r="A227" s="62" t="inlineStr">
        <is>
          <t>P</t>
        </is>
      </c>
      <c r="B227" s="60">
        <f>IF(D227&gt;1/1/2001,B226+1," ")</f>
        <v/>
      </c>
      <c r="C227" s="59">
        <f>IF(B227&lt;&gt;" ",CONCATENATE(A227,B227)," ")</f>
        <v/>
      </c>
      <c r="D227" s="69" t="n"/>
      <c r="E227" s="72" t="n"/>
      <c r="F227" s="72" t="n"/>
      <c r="G227" s="72" t="n"/>
      <c r="H227" s="72" t="n"/>
      <c r="I227" s="72" t="n"/>
      <c r="J227" s="71" t="n"/>
      <c r="K227" s="73" t="n"/>
    </row>
    <row r="228">
      <c r="A228" s="62" t="inlineStr">
        <is>
          <t>P</t>
        </is>
      </c>
      <c r="B228" s="60">
        <f>IF(D228&gt;1/1/2001,B227+1," ")</f>
        <v/>
      </c>
      <c r="C228" s="59">
        <f>IF(B228&lt;&gt;" ",CONCATENATE(A228,B228)," ")</f>
        <v/>
      </c>
      <c r="D228" s="69" t="n"/>
      <c r="E228" s="72" t="n"/>
      <c r="F228" s="72" t="n"/>
      <c r="G228" s="72" t="n"/>
      <c r="H228" s="72" t="n"/>
      <c r="I228" s="72" t="n"/>
      <c r="J228" s="71" t="n"/>
      <c r="K228" s="73" t="n"/>
    </row>
    <row r="229">
      <c r="A229" s="62" t="inlineStr">
        <is>
          <t>P</t>
        </is>
      </c>
      <c r="B229" s="60">
        <f>IF(D229&gt;1/1/2001,B228+1," ")</f>
        <v/>
      </c>
      <c r="C229" s="59">
        <f>IF(B229&lt;&gt;" ",CONCATENATE(A229,B229)," ")</f>
        <v/>
      </c>
      <c r="D229" s="69" t="n"/>
      <c r="E229" s="72" t="n"/>
      <c r="F229" s="72" t="n"/>
      <c r="G229" s="72" t="n"/>
      <c r="H229" s="72" t="n"/>
      <c r="I229" s="72" t="n"/>
      <c r="J229" s="71" t="n"/>
      <c r="K229" s="73" t="n"/>
    </row>
    <row r="230">
      <c r="A230" s="62" t="inlineStr">
        <is>
          <t>P</t>
        </is>
      </c>
      <c r="B230" s="60">
        <f>IF(D230&gt;1/1/2001,B229+1," ")</f>
        <v/>
      </c>
      <c r="C230" s="59">
        <f>IF(B230&lt;&gt;" ",CONCATENATE(A230,B230)," ")</f>
        <v/>
      </c>
      <c r="D230" s="69" t="n"/>
      <c r="E230" s="72" t="n"/>
      <c r="F230" s="72" t="n"/>
      <c r="G230" s="72" t="n"/>
      <c r="H230" s="72" t="n"/>
      <c r="I230" s="72" t="n"/>
      <c r="J230" s="71" t="n"/>
      <c r="K230" s="73" t="n"/>
    </row>
    <row r="231">
      <c r="A231" s="62" t="inlineStr">
        <is>
          <t>P</t>
        </is>
      </c>
      <c r="B231" s="60">
        <f>IF(D231&gt;1/1/2001,B230+1," ")</f>
        <v/>
      </c>
      <c r="C231" s="59">
        <f>IF(B231&lt;&gt;" ",CONCATENATE(A231,B231)," ")</f>
        <v/>
      </c>
      <c r="D231" s="69" t="n"/>
      <c r="E231" s="72" t="n"/>
      <c r="F231" s="72" t="n"/>
      <c r="G231" s="72" t="n"/>
      <c r="H231" s="72" t="n"/>
      <c r="I231" s="72" t="n"/>
      <c r="J231" s="71" t="n"/>
      <c r="K231" s="73" t="n"/>
    </row>
    <row r="232">
      <c r="A232" s="62" t="inlineStr">
        <is>
          <t>P</t>
        </is>
      </c>
      <c r="B232" s="60">
        <f>IF(D232&gt;1/1/2001,B231+1," ")</f>
        <v/>
      </c>
      <c r="C232" s="59">
        <f>IF(B232&lt;&gt;" ",CONCATENATE(A232,B232)," ")</f>
        <v/>
      </c>
      <c r="D232" s="69" t="n"/>
      <c r="E232" s="72" t="n"/>
      <c r="F232" s="72" t="n"/>
      <c r="G232" s="72" t="n"/>
      <c r="H232" s="72" t="n"/>
      <c r="I232" s="72" t="n"/>
      <c r="J232" s="71" t="n"/>
      <c r="K232" s="73" t="n"/>
    </row>
    <row r="233">
      <c r="A233" s="62" t="inlineStr">
        <is>
          <t>P</t>
        </is>
      </c>
      <c r="B233" s="60">
        <f>IF(D233&gt;1/1/2001,B232+1," ")</f>
        <v/>
      </c>
      <c r="C233" s="59">
        <f>IF(B233&lt;&gt;" ",CONCATENATE(A233,B233)," ")</f>
        <v/>
      </c>
      <c r="D233" s="69" t="n"/>
      <c r="E233" s="72" t="n"/>
      <c r="F233" s="72" t="n"/>
      <c r="G233" s="72" t="n"/>
      <c r="H233" s="72" t="n"/>
      <c r="I233" s="72" t="n"/>
      <c r="J233" s="71" t="n"/>
      <c r="K233" s="73" t="n"/>
    </row>
    <row r="234">
      <c r="A234" s="62" t="inlineStr">
        <is>
          <t>P</t>
        </is>
      </c>
      <c r="B234" s="60">
        <f>IF(D234&gt;1/1/2001,B233+1," ")</f>
        <v/>
      </c>
      <c r="C234" s="59">
        <f>IF(B234&lt;&gt;" ",CONCATENATE(A234,B234)," ")</f>
        <v/>
      </c>
      <c r="D234" s="69" t="n"/>
      <c r="E234" s="72" t="n"/>
      <c r="F234" s="72" t="n"/>
      <c r="G234" s="72" t="n"/>
      <c r="H234" s="72" t="n"/>
      <c r="I234" s="72" t="n"/>
      <c r="J234" s="71" t="n"/>
      <c r="K234" s="73" t="n"/>
    </row>
    <row r="235">
      <c r="A235" s="62" t="inlineStr">
        <is>
          <t>P</t>
        </is>
      </c>
      <c r="B235" s="60">
        <f>IF(D235&gt;1/1/2001,B234+1," ")</f>
        <v/>
      </c>
      <c r="C235" s="59">
        <f>IF(B235&lt;&gt;" ",CONCATENATE(A235,B235)," ")</f>
        <v/>
      </c>
      <c r="D235" s="69" t="n"/>
      <c r="E235" s="72" t="n"/>
      <c r="F235" s="72" t="n"/>
      <c r="G235" s="72" t="n"/>
      <c r="H235" s="72" t="n"/>
      <c r="I235" s="72" t="n"/>
      <c r="J235" s="71" t="n"/>
      <c r="K235" s="73" t="n"/>
    </row>
    <row r="236">
      <c r="A236" s="62" t="inlineStr">
        <is>
          <t>P</t>
        </is>
      </c>
      <c r="B236" s="60">
        <f>IF(D236&gt;1/1/2001,B235+1," ")</f>
        <v/>
      </c>
      <c r="C236" s="59">
        <f>IF(B236&lt;&gt;" ",CONCATENATE(A236,B236)," ")</f>
        <v/>
      </c>
      <c r="D236" s="69" t="n"/>
      <c r="E236" s="72" t="n"/>
      <c r="F236" s="72" t="n"/>
      <c r="G236" s="72" t="n"/>
      <c r="H236" s="72" t="n"/>
      <c r="I236" s="72" t="n"/>
      <c r="J236" s="71" t="n"/>
      <c r="K236" s="73" t="n"/>
    </row>
    <row r="237">
      <c r="A237" s="62" t="inlineStr">
        <is>
          <t>P</t>
        </is>
      </c>
      <c r="B237" s="60">
        <f>IF(D237&gt;1/1/2001,B236+1," ")</f>
        <v/>
      </c>
      <c r="C237" s="59">
        <f>IF(B237&lt;&gt;" ",CONCATENATE(A237,B237)," ")</f>
        <v/>
      </c>
      <c r="D237" s="69" t="n"/>
      <c r="E237" s="72" t="n"/>
      <c r="F237" s="72" t="n"/>
      <c r="G237" s="72" t="n"/>
      <c r="H237" s="72" t="n"/>
      <c r="I237" s="72" t="n"/>
      <c r="J237" s="71" t="n"/>
      <c r="K237" s="73" t="n"/>
    </row>
    <row r="238">
      <c r="A238" s="62" t="inlineStr">
        <is>
          <t>P</t>
        </is>
      </c>
      <c r="B238" s="60">
        <f>IF(D238&gt;1/1/2001,B237+1," ")</f>
        <v/>
      </c>
      <c r="C238" s="59">
        <f>IF(B238&lt;&gt;" ",CONCATENATE(A238,B238)," ")</f>
        <v/>
      </c>
      <c r="D238" s="69" t="n"/>
      <c r="E238" s="72" t="n"/>
      <c r="F238" s="72" t="n"/>
      <c r="G238" s="72" t="n"/>
      <c r="H238" s="72" t="n"/>
      <c r="I238" s="72" t="n"/>
      <c r="J238" s="71" t="n"/>
      <c r="K238" s="73" t="n"/>
    </row>
    <row r="239">
      <c r="A239" s="62" t="inlineStr">
        <is>
          <t>P</t>
        </is>
      </c>
      <c r="B239" s="60">
        <f>IF(D239&gt;1/1/2001,B238+1," ")</f>
        <v/>
      </c>
      <c r="C239" s="59">
        <f>IF(B239&lt;&gt;" ",CONCATENATE(A239,B239)," ")</f>
        <v/>
      </c>
      <c r="D239" s="69" t="n"/>
      <c r="E239" s="72" t="n"/>
      <c r="F239" s="72" t="n"/>
      <c r="G239" s="72" t="n"/>
      <c r="H239" s="72" t="n"/>
      <c r="I239" s="72" t="n"/>
      <c r="J239" s="71" t="n"/>
      <c r="K239" s="73" t="n"/>
    </row>
    <row r="240">
      <c r="A240" s="62" t="inlineStr">
        <is>
          <t>P</t>
        </is>
      </c>
      <c r="B240" s="60">
        <f>IF(D240&gt;1/1/2001,B239+1," ")</f>
        <v/>
      </c>
      <c r="C240" s="59">
        <f>IF(B240&lt;&gt;" ",CONCATENATE(A240,B240)," ")</f>
        <v/>
      </c>
      <c r="D240" s="69" t="n"/>
      <c r="E240" s="72" t="n"/>
      <c r="F240" s="72" t="n"/>
      <c r="G240" s="72" t="n"/>
      <c r="H240" s="72" t="n"/>
      <c r="I240" s="72" t="n"/>
      <c r="J240" s="71" t="n"/>
      <c r="K240" s="73" t="n"/>
    </row>
    <row r="241">
      <c r="A241" s="62" t="inlineStr">
        <is>
          <t>P</t>
        </is>
      </c>
      <c r="B241" s="60">
        <f>IF(D241&gt;1/1/2001,B240+1," ")</f>
        <v/>
      </c>
      <c r="C241" s="59">
        <f>IF(B241&lt;&gt;" ",CONCATENATE(A241,B241)," ")</f>
        <v/>
      </c>
      <c r="D241" s="69" t="n"/>
      <c r="E241" s="72" t="n"/>
      <c r="F241" s="72" t="n"/>
      <c r="G241" s="72" t="n"/>
      <c r="H241" s="72" t="n"/>
      <c r="I241" s="72" t="n"/>
      <c r="J241" s="71" t="n"/>
      <c r="K241" s="73" t="n"/>
    </row>
    <row r="242">
      <c r="A242" s="62" t="inlineStr">
        <is>
          <t>P</t>
        </is>
      </c>
      <c r="B242" s="60">
        <f>IF(D242&gt;1/1/2001,B241+1," ")</f>
        <v/>
      </c>
      <c r="C242" s="59">
        <f>IF(B242&lt;&gt;" ",CONCATENATE(A242,B242)," ")</f>
        <v/>
      </c>
      <c r="D242" s="69" t="n"/>
      <c r="E242" s="72" t="n"/>
      <c r="F242" s="72" t="n"/>
      <c r="G242" s="72" t="n"/>
      <c r="H242" s="72" t="n"/>
      <c r="I242" s="72" t="n"/>
      <c r="J242" s="71" t="n"/>
      <c r="K242" s="73" t="n"/>
    </row>
    <row r="243">
      <c r="A243" s="62" t="inlineStr">
        <is>
          <t>P</t>
        </is>
      </c>
      <c r="B243" s="60">
        <f>IF(D243&gt;1/1/2001,B242+1," ")</f>
        <v/>
      </c>
      <c r="C243" s="59">
        <f>IF(B243&lt;&gt;" ",CONCATENATE(A243,B243)," ")</f>
        <v/>
      </c>
      <c r="D243" s="69" t="n"/>
      <c r="E243" s="72" t="n"/>
      <c r="F243" s="72" t="n"/>
      <c r="G243" s="72" t="n"/>
      <c r="H243" s="72" t="n"/>
      <c r="I243" s="72" t="n"/>
      <c r="J243" s="71" t="n"/>
      <c r="K243" s="73" t="n"/>
    </row>
    <row r="244">
      <c r="A244" s="62" t="inlineStr">
        <is>
          <t>P</t>
        </is>
      </c>
      <c r="B244" s="60">
        <f>IF(D244&gt;1/1/2001,B243+1," ")</f>
        <v/>
      </c>
      <c r="C244" s="59">
        <f>IF(B244&lt;&gt;" ",CONCATENATE(A244,B244)," ")</f>
        <v/>
      </c>
      <c r="D244" s="69" t="n"/>
      <c r="E244" s="72" t="n"/>
      <c r="F244" s="72" t="n"/>
      <c r="G244" s="72" t="n"/>
      <c r="H244" s="72" t="n"/>
      <c r="I244" s="72" t="n"/>
      <c r="J244" s="71" t="n"/>
      <c r="K244" s="73" t="n"/>
    </row>
    <row r="245">
      <c r="A245" s="62" t="inlineStr">
        <is>
          <t>P</t>
        </is>
      </c>
      <c r="B245" s="60">
        <f>IF(D245&gt;1/1/2001,B244+1," ")</f>
        <v/>
      </c>
      <c r="C245" s="59">
        <f>IF(B245&lt;&gt;" ",CONCATENATE(A245,B245)," ")</f>
        <v/>
      </c>
      <c r="D245" s="69" t="n"/>
      <c r="E245" s="72" t="n"/>
      <c r="F245" s="72" t="n"/>
      <c r="G245" s="72" t="n"/>
      <c r="H245" s="72" t="n"/>
      <c r="I245" s="72" t="n"/>
      <c r="J245" s="71" t="n"/>
      <c r="K245" s="73" t="n"/>
    </row>
    <row r="246">
      <c r="A246" s="62" t="inlineStr">
        <is>
          <t>P</t>
        </is>
      </c>
      <c r="B246" s="60">
        <f>IF(D246&gt;1/1/2001,B245+1," ")</f>
        <v/>
      </c>
      <c r="C246" s="59">
        <f>IF(B246&lt;&gt;" ",CONCATENATE(A246,B246)," ")</f>
        <v/>
      </c>
      <c r="D246" s="69" t="n"/>
      <c r="E246" s="72" t="n"/>
      <c r="F246" s="72" t="n"/>
      <c r="G246" s="72" t="n"/>
      <c r="H246" s="72" t="n"/>
      <c r="I246" s="72" t="n"/>
      <c r="J246" s="71" t="n"/>
      <c r="K246" s="73" t="n"/>
    </row>
    <row r="247">
      <c r="A247" s="62" t="inlineStr">
        <is>
          <t>P</t>
        </is>
      </c>
      <c r="B247" s="60">
        <f>IF(D247&gt;1/1/2001,B246+1," ")</f>
        <v/>
      </c>
      <c r="C247" s="59">
        <f>IF(B247&lt;&gt;" ",CONCATENATE(A247,B247)," ")</f>
        <v/>
      </c>
      <c r="D247" s="69" t="n"/>
      <c r="E247" s="72" t="n"/>
      <c r="F247" s="72" t="n"/>
      <c r="G247" s="72" t="n"/>
      <c r="H247" s="72" t="n"/>
      <c r="I247" s="72" t="n"/>
      <c r="J247" s="71" t="n"/>
      <c r="K247" s="73" t="n"/>
    </row>
    <row r="248">
      <c r="A248" s="62" t="inlineStr">
        <is>
          <t>P</t>
        </is>
      </c>
      <c r="B248" s="60">
        <f>IF(D248&gt;1/1/2001,B247+1," ")</f>
        <v/>
      </c>
      <c r="C248" s="59">
        <f>IF(B248&lt;&gt;" ",CONCATENATE(A248,B248)," ")</f>
        <v/>
      </c>
      <c r="D248" s="69" t="n"/>
      <c r="E248" s="72" t="n"/>
      <c r="F248" s="72" t="n"/>
      <c r="G248" s="72" t="n"/>
      <c r="H248" s="72" t="n"/>
      <c r="I248" s="72" t="n"/>
      <c r="J248" s="71" t="n"/>
      <c r="K248" s="73" t="n"/>
    </row>
    <row r="249">
      <c r="A249" s="62" t="inlineStr">
        <is>
          <t>P</t>
        </is>
      </c>
      <c r="B249" s="60">
        <f>IF(D249&gt;1/1/2001,B248+1," ")</f>
        <v/>
      </c>
      <c r="C249" s="59">
        <f>IF(B249&lt;&gt;" ",CONCATENATE(A249,B249)," ")</f>
        <v/>
      </c>
      <c r="D249" s="69" t="n"/>
      <c r="E249" s="72" t="n"/>
      <c r="F249" s="72" t="n"/>
      <c r="G249" s="72" t="n"/>
      <c r="H249" s="72" t="n"/>
      <c r="I249" s="72" t="n"/>
      <c r="J249" s="71" t="n"/>
      <c r="K249" s="73" t="n"/>
    </row>
    <row r="250">
      <c r="A250" s="62" t="inlineStr">
        <is>
          <t>P</t>
        </is>
      </c>
      <c r="B250" s="60">
        <f>IF(D250&gt;1/1/2001,B249+1," ")</f>
        <v/>
      </c>
      <c r="C250" s="59">
        <f>IF(B250&lt;&gt;" ",CONCATENATE(A250,B250)," ")</f>
        <v/>
      </c>
      <c r="D250" s="69" t="n"/>
      <c r="E250" s="72" t="n"/>
      <c r="F250" s="72" t="n"/>
      <c r="G250" s="72" t="n"/>
      <c r="H250" s="72" t="n"/>
      <c r="I250" s="72" t="n"/>
      <c r="J250" s="71" t="n"/>
      <c r="K250" s="73" t="n"/>
    </row>
    <row r="251">
      <c r="A251" s="62" t="inlineStr">
        <is>
          <t>P</t>
        </is>
      </c>
      <c r="B251" s="60">
        <f>IF(D251&gt;1/1/2001,B250+1," ")</f>
        <v/>
      </c>
      <c r="C251" s="59">
        <f>IF(B251&lt;&gt;" ",CONCATENATE(A251,B251)," ")</f>
        <v/>
      </c>
      <c r="D251" s="69" t="n"/>
      <c r="E251" s="72" t="n"/>
      <c r="F251" s="72" t="n"/>
      <c r="G251" s="72" t="n"/>
      <c r="H251" s="72" t="n"/>
      <c r="I251" s="72" t="n"/>
      <c r="J251" s="71" t="n"/>
      <c r="K251" s="73" t="n"/>
    </row>
    <row r="252">
      <c r="A252" s="62" t="inlineStr">
        <is>
          <t>P</t>
        </is>
      </c>
      <c r="B252" s="60">
        <f>IF(D252&gt;1/1/2001,B251+1," ")</f>
        <v/>
      </c>
      <c r="C252" s="59">
        <f>IF(B252&lt;&gt;" ",CONCATENATE(A252,B252)," ")</f>
        <v/>
      </c>
      <c r="D252" s="69" t="n"/>
      <c r="E252" s="72" t="n"/>
      <c r="F252" s="72" t="n"/>
      <c r="G252" s="72" t="n"/>
      <c r="H252" s="72" t="n"/>
      <c r="I252" s="72" t="n"/>
      <c r="J252" s="71" t="n"/>
      <c r="K252" s="73" t="n"/>
    </row>
    <row r="253">
      <c r="A253" s="62" t="inlineStr">
        <is>
          <t>P</t>
        </is>
      </c>
      <c r="B253" s="60">
        <f>IF(D253&gt;1/1/2001,B252+1," ")</f>
        <v/>
      </c>
      <c r="C253" s="59">
        <f>IF(B253&lt;&gt;" ",CONCATENATE(A253,B253)," ")</f>
        <v/>
      </c>
      <c r="D253" s="69" t="n"/>
      <c r="E253" s="72" t="n"/>
      <c r="F253" s="72" t="n"/>
      <c r="G253" s="72" t="n"/>
      <c r="H253" s="72" t="n"/>
      <c r="I253" s="72" t="n"/>
      <c r="J253" s="71" t="n"/>
      <c r="K253" s="73" t="n"/>
    </row>
    <row r="254">
      <c r="A254" s="62" t="inlineStr">
        <is>
          <t>P</t>
        </is>
      </c>
      <c r="B254" s="60">
        <f>IF(D254&gt;1/1/2001,B253+1," ")</f>
        <v/>
      </c>
      <c r="C254" s="59">
        <f>IF(B254&lt;&gt;" ",CONCATENATE(A254,B254)," ")</f>
        <v/>
      </c>
      <c r="D254" s="69" t="n"/>
      <c r="E254" s="72" t="n"/>
      <c r="F254" s="72" t="n"/>
      <c r="G254" s="72" t="n"/>
      <c r="H254" s="72" t="n"/>
      <c r="I254" s="72" t="n"/>
      <c r="J254" s="71" t="n"/>
      <c r="K254" s="73" t="n"/>
    </row>
    <row r="255">
      <c r="A255" s="62" t="inlineStr">
        <is>
          <t>P</t>
        </is>
      </c>
      <c r="B255" s="60">
        <f>IF(D255&gt;1/1/2001,B254+1," ")</f>
        <v/>
      </c>
      <c r="C255" s="59">
        <f>IF(B255&lt;&gt;" ",CONCATENATE(A255,B255)," ")</f>
        <v/>
      </c>
      <c r="D255" s="69" t="n"/>
      <c r="E255" s="72" t="n"/>
      <c r="F255" s="72" t="n"/>
      <c r="G255" s="72" t="n"/>
      <c r="H255" s="72" t="n"/>
      <c r="I255" s="72" t="n"/>
      <c r="J255" s="71" t="n"/>
      <c r="K255" s="73" t="n"/>
    </row>
    <row r="256">
      <c r="A256" s="62" t="inlineStr">
        <is>
          <t>P</t>
        </is>
      </c>
      <c r="B256" s="60">
        <f>IF(D256&gt;1/1/2001,B255+1," ")</f>
        <v/>
      </c>
      <c r="C256" s="59">
        <f>IF(B256&lt;&gt;" ",CONCATENATE(A256,B256)," ")</f>
        <v/>
      </c>
      <c r="D256" s="69" t="n"/>
      <c r="E256" s="72" t="n"/>
      <c r="F256" s="72" t="n"/>
      <c r="G256" s="72" t="n"/>
      <c r="H256" s="72" t="n"/>
      <c r="I256" s="72" t="n"/>
      <c r="J256" s="71" t="n"/>
      <c r="K256" s="73" t="n"/>
    </row>
    <row r="257">
      <c r="A257" s="62" t="inlineStr">
        <is>
          <t>P</t>
        </is>
      </c>
      <c r="B257" s="60">
        <f>IF(D257&gt;1/1/2001,B256+1," ")</f>
        <v/>
      </c>
      <c r="C257" s="59">
        <f>IF(B257&lt;&gt;" ",CONCATENATE(A257,B257)," ")</f>
        <v/>
      </c>
      <c r="D257" s="69" t="n"/>
      <c r="E257" s="72" t="n"/>
      <c r="F257" s="72" t="n"/>
      <c r="G257" s="72" t="n"/>
      <c r="H257" s="72" t="n"/>
      <c r="I257" s="72" t="n"/>
      <c r="J257" s="71" t="n"/>
      <c r="K257" s="73" t="n"/>
    </row>
    <row r="258">
      <c r="A258" s="62" t="inlineStr">
        <is>
          <t>P</t>
        </is>
      </c>
      <c r="B258" s="60">
        <f>IF(D258&gt;1/1/2001,B257+1," ")</f>
        <v/>
      </c>
      <c r="C258" s="59">
        <f>IF(B258&lt;&gt;" ",CONCATENATE(A258,B258)," ")</f>
        <v/>
      </c>
      <c r="D258" s="69" t="n"/>
      <c r="E258" s="72" t="n"/>
      <c r="F258" s="72" t="n"/>
      <c r="G258" s="72" t="n"/>
      <c r="H258" s="72" t="n"/>
      <c r="I258" s="72" t="n"/>
      <c r="J258" s="71" t="n"/>
      <c r="K258" s="73" t="n"/>
    </row>
    <row r="259">
      <c r="A259" s="62" t="inlineStr">
        <is>
          <t>P</t>
        </is>
      </c>
      <c r="B259" s="60">
        <f>IF(D259&gt;1/1/2001,B258+1," ")</f>
        <v/>
      </c>
      <c r="C259" s="59">
        <f>IF(B259&lt;&gt;" ",CONCATENATE(A259,B259)," ")</f>
        <v/>
      </c>
      <c r="D259" s="69" t="n"/>
      <c r="E259" s="72" t="n"/>
      <c r="F259" s="72" t="n"/>
      <c r="G259" s="72" t="n"/>
      <c r="H259" s="72" t="n"/>
      <c r="I259" s="72" t="n"/>
      <c r="J259" s="71" t="n"/>
      <c r="K259" s="73" t="n"/>
    </row>
    <row r="260">
      <c r="A260" s="62" t="inlineStr">
        <is>
          <t>P</t>
        </is>
      </c>
      <c r="B260" s="60">
        <f>IF(D260&gt;1/1/2001,B259+1," ")</f>
        <v/>
      </c>
      <c r="C260" s="59">
        <f>IF(B260&lt;&gt;" ",CONCATENATE(A260,B260)," ")</f>
        <v/>
      </c>
      <c r="D260" s="69" t="n"/>
      <c r="E260" s="72" t="n"/>
      <c r="F260" s="72" t="n"/>
      <c r="G260" s="72" t="n"/>
      <c r="H260" s="72" t="n"/>
      <c r="I260" s="72" t="n"/>
      <c r="J260" s="71" t="n"/>
      <c r="K260" s="73" t="n"/>
    </row>
    <row r="261">
      <c r="A261" s="62" t="inlineStr">
        <is>
          <t>P</t>
        </is>
      </c>
      <c r="B261" s="60">
        <f>IF(D261&gt;1/1/2001,B260+1," ")</f>
        <v/>
      </c>
      <c r="C261" s="59">
        <f>IF(B261&lt;&gt;" ",CONCATENATE(A261,B261)," ")</f>
        <v/>
      </c>
      <c r="D261" s="69" t="n"/>
      <c r="E261" s="72" t="n"/>
      <c r="F261" s="72" t="n"/>
      <c r="G261" s="72" t="n"/>
      <c r="H261" s="72" t="n"/>
      <c r="I261" s="72" t="n"/>
      <c r="J261" s="71" t="n"/>
      <c r="K261" s="73" t="n"/>
    </row>
    <row r="262">
      <c r="A262" s="62" t="inlineStr">
        <is>
          <t>P</t>
        </is>
      </c>
      <c r="B262" s="60">
        <f>IF(D262&gt;1/1/2001,B261+1," ")</f>
        <v/>
      </c>
      <c r="C262" s="59">
        <f>IF(B262&lt;&gt;" ",CONCATENATE(A262,B262)," ")</f>
        <v/>
      </c>
      <c r="D262" s="69" t="n"/>
      <c r="E262" s="72" t="n"/>
      <c r="F262" s="72" t="n"/>
      <c r="G262" s="72" t="n"/>
      <c r="H262" s="72" t="n"/>
      <c r="I262" s="72" t="n"/>
      <c r="J262" s="71" t="n"/>
      <c r="K262" s="73" t="n"/>
    </row>
    <row r="263">
      <c r="A263" s="62" t="inlineStr">
        <is>
          <t>P</t>
        </is>
      </c>
      <c r="B263" s="60">
        <f>IF(D263&gt;1/1/2001,B262+1," ")</f>
        <v/>
      </c>
      <c r="C263" s="59">
        <f>IF(B263&lt;&gt;" ",CONCATENATE(A263,B263)," ")</f>
        <v/>
      </c>
      <c r="D263" s="69" t="n"/>
      <c r="E263" s="72" t="n"/>
      <c r="F263" s="72" t="n"/>
      <c r="G263" s="72" t="n"/>
      <c r="H263" s="72" t="n"/>
      <c r="I263" s="72" t="n"/>
      <c r="J263" s="71" t="n"/>
      <c r="K263" s="73" t="n"/>
    </row>
    <row r="264">
      <c r="A264" s="62" t="inlineStr">
        <is>
          <t>P</t>
        </is>
      </c>
      <c r="B264" s="60">
        <f>IF(D264&gt;1/1/2001,B263+1," ")</f>
        <v/>
      </c>
      <c r="C264" s="59">
        <f>IF(B264&lt;&gt;" ",CONCATENATE(A264,B264)," ")</f>
        <v/>
      </c>
      <c r="D264" s="69" t="n"/>
      <c r="E264" s="72" t="n"/>
      <c r="F264" s="72" t="n"/>
      <c r="G264" s="72" t="n"/>
      <c r="H264" s="72" t="n"/>
      <c r="I264" s="72" t="n"/>
      <c r="J264" s="71" t="n"/>
      <c r="K264" s="73" t="n"/>
    </row>
    <row r="265">
      <c r="A265" s="62" t="inlineStr">
        <is>
          <t>P</t>
        </is>
      </c>
      <c r="B265" s="60">
        <f>IF(D265&gt;1/1/2001,B264+1," ")</f>
        <v/>
      </c>
      <c r="C265" s="59">
        <f>IF(B265&lt;&gt;" ",CONCATENATE(A265,B265)," ")</f>
        <v/>
      </c>
      <c r="D265" s="69" t="n"/>
      <c r="E265" s="72" t="n"/>
      <c r="F265" s="72" t="n"/>
      <c r="G265" s="72" t="n"/>
      <c r="H265" s="72" t="n"/>
      <c r="I265" s="72" t="n"/>
      <c r="J265" s="71" t="n"/>
      <c r="K265" s="73" t="n"/>
    </row>
    <row r="266">
      <c r="A266" s="62" t="inlineStr">
        <is>
          <t>P</t>
        </is>
      </c>
      <c r="B266" s="60">
        <f>IF(D266&gt;1/1/2001,B265+1," ")</f>
        <v/>
      </c>
      <c r="C266" s="59">
        <f>IF(B266&lt;&gt;" ",CONCATENATE(A266,B266)," ")</f>
        <v/>
      </c>
      <c r="D266" s="69" t="n"/>
      <c r="E266" s="72" t="n"/>
      <c r="F266" s="72" t="n"/>
      <c r="G266" s="72" t="n"/>
      <c r="H266" s="72" t="n"/>
      <c r="I266" s="72" t="n"/>
      <c r="J266" s="71" t="n"/>
      <c r="K266" s="73" t="n"/>
    </row>
    <row r="267">
      <c r="A267" s="62" t="inlineStr">
        <is>
          <t>P</t>
        </is>
      </c>
      <c r="B267" s="60">
        <f>IF(D267&gt;1/1/2001,B266+1," ")</f>
        <v/>
      </c>
      <c r="C267" s="59">
        <f>IF(B267&lt;&gt;" ",CONCATENATE(A267,B267)," ")</f>
        <v/>
      </c>
      <c r="D267" s="69" t="n"/>
      <c r="E267" s="72" t="n"/>
      <c r="F267" s="72" t="n"/>
      <c r="G267" s="72" t="n"/>
      <c r="H267" s="72" t="n"/>
      <c r="I267" s="72" t="n"/>
      <c r="J267" s="71" t="n"/>
      <c r="K267" s="73" t="n"/>
    </row>
    <row r="268">
      <c r="A268" s="62" t="inlineStr">
        <is>
          <t>P</t>
        </is>
      </c>
      <c r="B268" s="60">
        <f>IF(D268&gt;1/1/2001,B267+1," ")</f>
        <v/>
      </c>
      <c r="C268" s="59">
        <f>IF(B268&lt;&gt;" ",CONCATENATE(A268,B268)," ")</f>
        <v/>
      </c>
      <c r="D268" s="69" t="n"/>
      <c r="E268" s="72" t="n"/>
      <c r="F268" s="72" t="n"/>
      <c r="G268" s="72" t="n"/>
      <c r="H268" s="72" t="n"/>
      <c r="I268" s="72" t="n"/>
      <c r="J268" s="71" t="n"/>
      <c r="K268" s="73" t="n"/>
    </row>
    <row r="269">
      <c r="A269" s="62" t="inlineStr">
        <is>
          <t>P</t>
        </is>
      </c>
      <c r="B269" s="60">
        <f>IF(D269&gt;1/1/2001,B268+1," ")</f>
        <v/>
      </c>
      <c r="C269" s="59">
        <f>IF(B269&lt;&gt;" ",CONCATENATE(A269,B269)," ")</f>
        <v/>
      </c>
      <c r="D269" s="69" t="n"/>
      <c r="E269" s="72" t="n"/>
      <c r="F269" s="72" t="n"/>
      <c r="G269" s="72" t="n"/>
      <c r="H269" s="72" t="n"/>
      <c r="I269" s="72" t="n"/>
      <c r="J269" s="71" t="n"/>
      <c r="K269" s="73" t="n"/>
    </row>
    <row r="270">
      <c r="A270" s="62" t="inlineStr">
        <is>
          <t>P</t>
        </is>
      </c>
      <c r="B270" s="60">
        <f>IF(D270&gt;1/1/2001,B269+1," ")</f>
        <v/>
      </c>
      <c r="C270" s="59">
        <f>IF(B270&lt;&gt;" ",CONCATENATE(A270,B270)," ")</f>
        <v/>
      </c>
      <c r="D270" s="69" t="n"/>
      <c r="E270" s="72" t="n"/>
      <c r="F270" s="72" t="n"/>
      <c r="G270" s="72" t="n"/>
      <c r="H270" s="72" t="n"/>
      <c r="I270" s="72" t="n"/>
      <c r="J270" s="71" t="n"/>
      <c r="K270" s="73" t="n"/>
    </row>
    <row r="271">
      <c r="A271" s="62" t="inlineStr">
        <is>
          <t>P</t>
        </is>
      </c>
      <c r="B271" s="60">
        <f>IF(D271&gt;1/1/2001,B270+1," ")</f>
        <v/>
      </c>
      <c r="C271" s="59">
        <f>IF(B271&lt;&gt;" ",CONCATENATE(A271,B271)," ")</f>
        <v/>
      </c>
      <c r="D271" s="69" t="n"/>
      <c r="E271" s="72" t="n"/>
      <c r="F271" s="72" t="n"/>
      <c r="G271" s="72" t="n"/>
      <c r="H271" s="72" t="n"/>
      <c r="I271" s="72" t="n"/>
      <c r="J271" s="71" t="n"/>
      <c r="K271" s="73" t="n"/>
    </row>
    <row r="272">
      <c r="A272" s="62" t="inlineStr">
        <is>
          <t>P</t>
        </is>
      </c>
      <c r="B272" s="60">
        <f>IF(D272&gt;1/1/2001,B271+1," ")</f>
        <v/>
      </c>
      <c r="C272" s="59">
        <f>IF(B272&lt;&gt;" ",CONCATENATE(A272,B272)," ")</f>
        <v/>
      </c>
      <c r="D272" s="69" t="n"/>
      <c r="E272" s="72" t="n"/>
      <c r="F272" s="72" t="n"/>
      <c r="G272" s="72" t="n"/>
      <c r="H272" s="72" t="n"/>
      <c r="I272" s="72" t="n"/>
      <c r="J272" s="71" t="n"/>
      <c r="K272" s="73" t="n"/>
    </row>
    <row r="273">
      <c r="A273" s="62" t="inlineStr">
        <is>
          <t>P</t>
        </is>
      </c>
      <c r="B273" s="60">
        <f>IF(D273&gt;1/1/2001,B272+1," ")</f>
        <v/>
      </c>
      <c r="C273" s="59">
        <f>IF(B273&lt;&gt;" ",CONCATENATE(A273,B273)," ")</f>
        <v/>
      </c>
      <c r="D273" s="69" t="n"/>
      <c r="E273" s="72" t="n"/>
      <c r="F273" s="72" t="n"/>
      <c r="G273" s="72" t="n"/>
      <c r="H273" s="72" t="n"/>
      <c r="I273" s="72" t="n"/>
      <c r="J273" s="71" t="n"/>
      <c r="K273" s="73" t="n"/>
    </row>
    <row r="274">
      <c r="A274" s="62" t="inlineStr">
        <is>
          <t>P</t>
        </is>
      </c>
      <c r="B274" s="60">
        <f>IF(D274&gt;1/1/2001,B273+1," ")</f>
        <v/>
      </c>
      <c r="C274" s="59">
        <f>IF(B274&lt;&gt;" ",CONCATENATE(A274,B274)," ")</f>
        <v/>
      </c>
      <c r="D274" s="69" t="n"/>
      <c r="E274" s="72" t="n"/>
      <c r="F274" s="72" t="n"/>
      <c r="G274" s="72" t="n"/>
      <c r="H274" s="72" t="n"/>
      <c r="I274" s="72" t="n"/>
      <c r="J274" s="71" t="n"/>
      <c r="K274" s="73" t="n"/>
    </row>
    <row r="275">
      <c r="A275" s="62" t="inlineStr">
        <is>
          <t>P</t>
        </is>
      </c>
      <c r="B275" s="60">
        <f>IF(D275&gt;1/1/2001,B274+1," ")</f>
        <v/>
      </c>
      <c r="C275" s="59">
        <f>IF(B275&lt;&gt;" ",CONCATENATE(A275,B275)," ")</f>
        <v/>
      </c>
      <c r="D275" s="69" t="n"/>
      <c r="E275" s="72" t="n"/>
      <c r="F275" s="72" t="n"/>
      <c r="G275" s="72" t="n"/>
      <c r="H275" s="72" t="n"/>
      <c r="I275" s="72" t="n"/>
      <c r="J275" s="71" t="n"/>
      <c r="K275" s="73" t="n"/>
    </row>
    <row r="276">
      <c r="A276" s="62" t="inlineStr">
        <is>
          <t>P</t>
        </is>
      </c>
      <c r="B276" s="60">
        <f>IF(D276&gt;1/1/2001,B275+1," ")</f>
        <v/>
      </c>
      <c r="C276" s="59">
        <f>IF(B276&lt;&gt;" ",CONCATENATE(A276,B276)," ")</f>
        <v/>
      </c>
      <c r="D276" s="69" t="n"/>
      <c r="E276" s="72" t="n"/>
      <c r="F276" s="72" t="n"/>
      <c r="G276" s="72" t="n"/>
      <c r="H276" s="72" t="n"/>
      <c r="I276" s="72" t="n"/>
      <c r="J276" s="71" t="n"/>
      <c r="K276" s="73" t="n"/>
    </row>
    <row r="277">
      <c r="A277" s="62" t="inlineStr">
        <is>
          <t>P</t>
        </is>
      </c>
      <c r="B277" s="60">
        <f>IF(D277&gt;1/1/2001,B276+1," ")</f>
        <v/>
      </c>
      <c r="C277" s="59">
        <f>IF(B277&lt;&gt;" ",CONCATENATE(A277,B277)," ")</f>
        <v/>
      </c>
      <c r="D277" s="69" t="n"/>
      <c r="E277" s="72" t="n"/>
      <c r="F277" s="72" t="n"/>
      <c r="G277" s="72" t="n"/>
      <c r="H277" s="72" t="n"/>
      <c r="I277" s="72" t="n"/>
      <c r="J277" s="71" t="n"/>
      <c r="K277" s="73" t="n"/>
    </row>
    <row r="278">
      <c r="A278" s="62" t="inlineStr">
        <is>
          <t>P</t>
        </is>
      </c>
      <c r="B278" s="60">
        <f>IF(D278&gt;1/1/2001,B277+1," ")</f>
        <v/>
      </c>
      <c r="C278" s="59">
        <f>IF(B278&lt;&gt;" ",CONCATENATE(A278,B278)," ")</f>
        <v/>
      </c>
      <c r="D278" s="69" t="n"/>
      <c r="E278" s="72" t="n"/>
      <c r="F278" s="72" t="n"/>
      <c r="G278" s="72" t="n"/>
      <c r="H278" s="72" t="n"/>
      <c r="I278" s="72" t="n"/>
      <c r="J278" s="71" t="n"/>
      <c r="K278" s="73" t="n"/>
    </row>
    <row r="279">
      <c r="A279" s="62" t="inlineStr">
        <is>
          <t>P</t>
        </is>
      </c>
      <c r="B279" s="60">
        <f>IF(D279&gt;1/1/2001,B278+1," ")</f>
        <v/>
      </c>
      <c r="C279" s="59">
        <f>IF(B279&lt;&gt;" ",CONCATENATE(A279,B279)," ")</f>
        <v/>
      </c>
      <c r="D279" s="69" t="n"/>
      <c r="E279" s="72" t="n"/>
      <c r="F279" s="72" t="n"/>
      <c r="G279" s="72" t="n"/>
      <c r="H279" s="72" t="n"/>
      <c r="I279" s="72" t="n"/>
      <c r="J279" s="71" t="n"/>
      <c r="K279" s="73" t="n"/>
    </row>
    <row r="280">
      <c r="A280" s="62" t="inlineStr">
        <is>
          <t>P</t>
        </is>
      </c>
      <c r="B280" s="60">
        <f>IF(D280&gt;1/1/2001,B279+1," ")</f>
        <v/>
      </c>
      <c r="C280" s="59">
        <f>IF(B280&lt;&gt;" ",CONCATENATE(A280,B280)," ")</f>
        <v/>
      </c>
      <c r="D280" s="69" t="n"/>
      <c r="E280" s="72" t="n"/>
      <c r="F280" s="72" t="n"/>
      <c r="G280" s="72" t="n"/>
      <c r="H280" s="72" t="n"/>
      <c r="I280" s="72" t="n"/>
      <c r="J280" s="71" t="n"/>
      <c r="K280" s="73" t="n"/>
    </row>
    <row r="281">
      <c r="A281" s="62" t="inlineStr">
        <is>
          <t>P</t>
        </is>
      </c>
      <c r="B281" s="60">
        <f>IF(D281&gt;1/1/2001,B280+1," ")</f>
        <v/>
      </c>
      <c r="C281" s="59">
        <f>IF(B281&lt;&gt;" ",CONCATENATE(A281,B281)," ")</f>
        <v/>
      </c>
      <c r="D281" s="69" t="n"/>
      <c r="E281" s="72" t="n"/>
      <c r="F281" s="72" t="n"/>
      <c r="G281" s="72" t="n"/>
      <c r="H281" s="72" t="n"/>
      <c r="I281" s="72" t="n"/>
      <c r="J281" s="71" t="n"/>
      <c r="K281" s="73" t="n"/>
    </row>
    <row r="282">
      <c r="A282" s="62" t="inlineStr">
        <is>
          <t>P</t>
        </is>
      </c>
      <c r="B282" s="60">
        <f>IF(D282&gt;1/1/2001,B281+1," ")</f>
        <v/>
      </c>
      <c r="C282" s="59">
        <f>IF(B282&lt;&gt;" ",CONCATENATE(A282,B282)," ")</f>
        <v/>
      </c>
      <c r="D282" s="69" t="n"/>
      <c r="E282" s="72" t="n"/>
      <c r="F282" s="72" t="n"/>
      <c r="G282" s="72" t="n"/>
      <c r="H282" s="72" t="n"/>
      <c r="I282" s="72" t="n"/>
      <c r="J282" s="71" t="n"/>
      <c r="K282" s="73" t="n"/>
    </row>
    <row r="283">
      <c r="A283" s="62" t="inlineStr">
        <is>
          <t>P</t>
        </is>
      </c>
      <c r="B283" s="60">
        <f>IF(D283&gt;1/1/2001,B282+1," ")</f>
        <v/>
      </c>
      <c r="C283" s="59">
        <f>IF(B283&lt;&gt;" ",CONCATENATE(A283,B283)," ")</f>
        <v/>
      </c>
      <c r="D283" s="69" t="n"/>
      <c r="E283" s="72" t="n"/>
      <c r="F283" s="72" t="n"/>
      <c r="G283" s="72" t="n"/>
      <c r="H283" s="72" t="n"/>
      <c r="I283" s="72" t="n"/>
      <c r="J283" s="71" t="n"/>
      <c r="K283" s="73" t="n"/>
    </row>
    <row r="284">
      <c r="A284" s="62" t="inlineStr">
        <is>
          <t>P</t>
        </is>
      </c>
      <c r="B284" s="60">
        <f>IF(D284&gt;1/1/2001,B283+1," ")</f>
        <v/>
      </c>
      <c r="C284" s="59">
        <f>IF(B284&lt;&gt;" ",CONCATENATE(A284,B284)," ")</f>
        <v/>
      </c>
      <c r="D284" s="69" t="n"/>
      <c r="E284" s="72" t="n"/>
      <c r="F284" s="72" t="n"/>
      <c r="G284" s="72" t="n"/>
      <c r="H284" s="72" t="n"/>
      <c r="I284" s="72" t="n"/>
      <c r="J284" s="71" t="n"/>
      <c r="K284" s="73" t="n"/>
    </row>
    <row r="285">
      <c r="A285" s="62" t="inlineStr">
        <is>
          <t>P</t>
        </is>
      </c>
      <c r="B285" s="60">
        <f>IF(D285&gt;1/1/2001,B284+1," ")</f>
        <v/>
      </c>
      <c r="C285" s="59">
        <f>IF(B285&lt;&gt;" ",CONCATENATE(A285,B285)," ")</f>
        <v/>
      </c>
      <c r="D285" s="69" t="n"/>
      <c r="E285" s="72" t="n"/>
      <c r="F285" s="72" t="n"/>
      <c r="G285" s="72" t="n"/>
      <c r="H285" s="72" t="n"/>
      <c r="I285" s="72" t="n"/>
      <c r="J285" s="71" t="n"/>
      <c r="K285" s="73" t="n"/>
    </row>
    <row r="286">
      <c r="A286" s="62" t="inlineStr">
        <is>
          <t>P</t>
        </is>
      </c>
      <c r="B286" s="60">
        <f>IF(D286&gt;1/1/2001,B285+1," ")</f>
        <v/>
      </c>
      <c r="C286" s="59">
        <f>IF(B286&lt;&gt;" ",CONCATENATE(A286,B286)," ")</f>
        <v/>
      </c>
      <c r="D286" s="69" t="n"/>
      <c r="E286" s="72" t="n"/>
      <c r="F286" s="72" t="n"/>
      <c r="G286" s="72" t="n"/>
      <c r="H286" s="72" t="n"/>
      <c r="I286" s="72" t="n"/>
      <c r="J286" s="71" t="n"/>
      <c r="K286" s="73" t="n"/>
    </row>
    <row r="287">
      <c r="A287" s="62" t="inlineStr">
        <is>
          <t>P</t>
        </is>
      </c>
      <c r="B287" s="60">
        <f>IF(D287&gt;1/1/2001,B286+1," ")</f>
        <v/>
      </c>
      <c r="C287" s="59">
        <f>IF(B287&lt;&gt;" ",CONCATENATE(A287,B287)," ")</f>
        <v/>
      </c>
      <c r="D287" s="69" t="n"/>
      <c r="E287" s="72" t="n"/>
      <c r="F287" s="72" t="n"/>
      <c r="G287" s="72" t="n"/>
      <c r="H287" s="72" t="n"/>
      <c r="I287" s="72" t="n"/>
      <c r="J287" s="71" t="n"/>
      <c r="K287" s="73" t="n"/>
    </row>
    <row r="288">
      <c r="A288" s="62" t="inlineStr">
        <is>
          <t>P</t>
        </is>
      </c>
      <c r="B288" s="60">
        <f>IF(D288&gt;1/1/2001,B287+1," ")</f>
        <v/>
      </c>
      <c r="C288" s="59">
        <f>IF(B288&lt;&gt;" ",CONCATENATE(A288,B288)," ")</f>
        <v/>
      </c>
      <c r="D288" s="69" t="n"/>
      <c r="E288" s="72" t="n"/>
      <c r="F288" s="72" t="n"/>
      <c r="G288" s="72" t="n"/>
      <c r="H288" s="72" t="n"/>
      <c r="I288" s="72" t="n"/>
      <c r="J288" s="71" t="n"/>
      <c r="K288" s="73" t="n"/>
    </row>
    <row r="289">
      <c r="A289" s="62" t="inlineStr">
        <is>
          <t>P</t>
        </is>
      </c>
      <c r="B289" s="60">
        <f>IF(D289&gt;1/1/2001,B288+1," ")</f>
        <v/>
      </c>
      <c r="C289" s="59">
        <f>IF(B289&lt;&gt;" ",CONCATENATE(A289,B289)," ")</f>
        <v/>
      </c>
      <c r="D289" s="69" t="n"/>
      <c r="E289" s="72" t="n"/>
      <c r="F289" s="72" t="n"/>
      <c r="G289" s="72" t="n"/>
      <c r="H289" s="72" t="n"/>
      <c r="I289" s="72" t="n"/>
      <c r="J289" s="71" t="n"/>
      <c r="K289" s="73" t="n"/>
    </row>
    <row r="290">
      <c r="A290" s="62" t="inlineStr">
        <is>
          <t>P</t>
        </is>
      </c>
      <c r="B290" s="60">
        <f>IF(D290&gt;1/1/2001,B289+1," ")</f>
        <v/>
      </c>
      <c r="C290" s="59">
        <f>IF(B290&lt;&gt;" ",CONCATENATE(A290,B290)," ")</f>
        <v/>
      </c>
      <c r="D290" s="69" t="n"/>
      <c r="E290" s="72" t="n"/>
      <c r="F290" s="72" t="n"/>
      <c r="G290" s="72" t="n"/>
      <c r="H290" s="72" t="n"/>
      <c r="I290" s="72" t="n"/>
      <c r="J290" s="71" t="n"/>
      <c r="K290" s="73" t="n"/>
    </row>
    <row r="291">
      <c r="A291" s="62" t="inlineStr">
        <is>
          <t>P</t>
        </is>
      </c>
      <c r="B291" s="60">
        <f>IF(D291&gt;1/1/2001,B290+1," ")</f>
        <v/>
      </c>
      <c r="C291" s="59">
        <f>IF(B291&lt;&gt;" ",CONCATENATE(A291,B291)," ")</f>
        <v/>
      </c>
      <c r="D291" s="69" t="n"/>
      <c r="E291" s="72" t="n"/>
      <c r="F291" s="72" t="n"/>
      <c r="G291" s="72" t="n"/>
      <c r="H291" s="72" t="n"/>
      <c r="I291" s="72" t="n"/>
      <c r="J291" s="71" t="n"/>
      <c r="K291" s="73" t="n"/>
    </row>
    <row r="292">
      <c r="A292" s="62" t="inlineStr">
        <is>
          <t>P</t>
        </is>
      </c>
      <c r="B292" s="60">
        <f>IF(D292&gt;1/1/2001,B291+1," ")</f>
        <v/>
      </c>
      <c r="C292" s="59">
        <f>IF(B292&lt;&gt;" ",CONCATENATE(A292,B292)," ")</f>
        <v/>
      </c>
      <c r="D292" s="69" t="n"/>
      <c r="E292" s="72" t="n"/>
      <c r="F292" s="72" t="n"/>
      <c r="G292" s="72" t="n"/>
      <c r="H292" s="72" t="n"/>
      <c r="I292" s="72" t="n"/>
      <c r="J292" s="71" t="n"/>
      <c r="K292" s="73" t="n"/>
    </row>
    <row r="293">
      <c r="A293" s="62" t="inlineStr">
        <is>
          <t>P</t>
        </is>
      </c>
      <c r="B293" s="60">
        <f>IF(D293&gt;1/1/2001,B292+1," ")</f>
        <v/>
      </c>
      <c r="C293" s="59">
        <f>IF(B293&lt;&gt;" ",CONCATENATE(A293,B293)," ")</f>
        <v/>
      </c>
      <c r="D293" s="69" t="n"/>
      <c r="E293" s="72" t="n"/>
      <c r="F293" s="72" t="n"/>
      <c r="G293" s="72" t="n"/>
      <c r="H293" s="72" t="n"/>
      <c r="I293" s="72" t="n"/>
      <c r="J293" s="71" t="n"/>
      <c r="K293" s="73" t="n"/>
    </row>
    <row r="294">
      <c r="A294" s="62" t="inlineStr">
        <is>
          <t>P</t>
        </is>
      </c>
      <c r="B294" s="60">
        <f>IF(D294&gt;1/1/2001,B293+1," ")</f>
        <v/>
      </c>
      <c r="C294" s="59">
        <f>IF(B294&lt;&gt;" ",CONCATENATE(A294,B294)," ")</f>
        <v/>
      </c>
      <c r="D294" s="69" t="n"/>
      <c r="E294" s="72" t="n"/>
      <c r="F294" s="72" t="n"/>
      <c r="G294" s="72" t="n"/>
      <c r="H294" s="72" t="n"/>
      <c r="I294" s="72" t="n"/>
      <c r="J294" s="71" t="n"/>
      <c r="K294" s="73" t="n"/>
    </row>
    <row r="295">
      <c r="A295" s="62" t="inlineStr">
        <is>
          <t>P</t>
        </is>
      </c>
      <c r="B295" s="60">
        <f>IF(D295&gt;1/1/2001,B294+1," ")</f>
        <v/>
      </c>
      <c r="C295" s="59">
        <f>IF(B295&lt;&gt;" ",CONCATENATE(A295,B295)," ")</f>
        <v/>
      </c>
      <c r="D295" s="69" t="n"/>
      <c r="E295" s="72" t="n"/>
      <c r="F295" s="72" t="n"/>
      <c r="G295" s="72" t="n"/>
      <c r="H295" s="72" t="n"/>
      <c r="I295" s="72" t="n"/>
      <c r="J295" s="71" t="n"/>
      <c r="K295" s="73" t="n"/>
    </row>
    <row r="296">
      <c r="A296" s="62" t="inlineStr">
        <is>
          <t>P</t>
        </is>
      </c>
      <c r="B296" s="60">
        <f>IF(D296&gt;1/1/2001,B295+1," ")</f>
        <v/>
      </c>
      <c r="C296" s="59">
        <f>IF(B296&lt;&gt;" ",CONCATENATE(A296,B296)," ")</f>
        <v/>
      </c>
      <c r="D296" s="69" t="n"/>
      <c r="E296" s="72" t="n"/>
      <c r="F296" s="72" t="n"/>
      <c r="G296" s="72" t="n"/>
      <c r="H296" s="72" t="n"/>
      <c r="I296" s="72" t="n"/>
      <c r="J296" s="71" t="n"/>
      <c r="K296" s="73" t="n"/>
    </row>
    <row r="297">
      <c r="A297" s="62" t="inlineStr">
        <is>
          <t>P</t>
        </is>
      </c>
      <c r="B297" s="60">
        <f>IF(D297&gt;1/1/2001,B296+1," ")</f>
        <v/>
      </c>
      <c r="C297" s="59">
        <f>IF(B297&lt;&gt;" ",CONCATENATE(A297,B297)," ")</f>
        <v/>
      </c>
      <c r="D297" s="69" t="n"/>
      <c r="E297" s="72" t="n"/>
      <c r="F297" s="72" t="n"/>
      <c r="G297" s="72" t="n"/>
      <c r="H297" s="72" t="n"/>
      <c r="I297" s="72" t="n"/>
      <c r="J297" s="71" t="n"/>
      <c r="K297" s="73" t="n"/>
    </row>
    <row r="298">
      <c r="A298" s="62" t="inlineStr">
        <is>
          <t>P</t>
        </is>
      </c>
      <c r="B298" s="60">
        <f>IF(D298&gt;1/1/2001,B297+1," ")</f>
        <v/>
      </c>
      <c r="C298" s="59">
        <f>IF(B298&lt;&gt;" ",CONCATENATE(A298,B298)," ")</f>
        <v/>
      </c>
      <c r="D298" s="69" t="n"/>
      <c r="E298" s="72" t="n"/>
      <c r="F298" s="72" t="n"/>
      <c r="G298" s="72" t="n"/>
      <c r="H298" s="72" t="n"/>
      <c r="I298" s="72" t="n"/>
      <c r="J298" s="71" t="n"/>
      <c r="K298" s="73" t="n"/>
    </row>
    <row r="299">
      <c r="A299" s="62" t="inlineStr">
        <is>
          <t>P</t>
        </is>
      </c>
      <c r="B299" s="60">
        <f>IF(D299&gt;1/1/2001,B298+1," ")</f>
        <v/>
      </c>
      <c r="C299" s="59">
        <f>IF(B299&lt;&gt;" ",CONCATENATE(A299,B299)," ")</f>
        <v/>
      </c>
      <c r="D299" s="69" t="n"/>
      <c r="E299" s="72" t="n"/>
      <c r="F299" s="72" t="n"/>
      <c r="G299" s="72" t="n"/>
      <c r="H299" s="72" t="n"/>
      <c r="I299" s="72" t="n"/>
      <c r="J299" s="71" t="n"/>
      <c r="K299" s="73" t="n"/>
    </row>
    <row r="300">
      <c r="A300" s="62" t="inlineStr">
        <is>
          <t>P</t>
        </is>
      </c>
      <c r="B300" s="60">
        <f>IF(D300&gt;1/1/2001,B299+1," ")</f>
        <v/>
      </c>
      <c r="C300" s="59">
        <f>IF(B300&lt;&gt;" ",CONCATENATE(A300,B300)," ")</f>
        <v/>
      </c>
      <c r="D300" s="69" t="n"/>
      <c r="E300" s="72" t="n"/>
      <c r="F300" s="72" t="n"/>
      <c r="G300" s="72" t="n"/>
      <c r="H300" s="72" t="n"/>
      <c r="I300" s="72" t="n"/>
      <c r="J300" s="71" t="n"/>
      <c r="K300" s="73" t="n"/>
    </row>
    <row r="301">
      <c r="A301" s="62" t="inlineStr">
        <is>
          <t>P</t>
        </is>
      </c>
      <c r="B301" s="60">
        <f>IF(D301&gt;1/1/2001,B300+1," ")</f>
        <v/>
      </c>
      <c r="C301" s="59">
        <f>IF(B301&lt;&gt;" ",CONCATENATE(A301,B301)," ")</f>
        <v/>
      </c>
      <c r="D301" s="69" t="n"/>
      <c r="E301" s="72" t="n"/>
      <c r="F301" s="72" t="n"/>
      <c r="G301" s="72" t="n"/>
      <c r="H301" s="72" t="n"/>
      <c r="I301" s="72" t="n"/>
      <c r="J301" s="71" t="n"/>
      <c r="K301" s="73" t="n"/>
    </row>
    <row r="302">
      <c r="A302" s="62" t="inlineStr">
        <is>
          <t>P</t>
        </is>
      </c>
      <c r="B302" s="60">
        <f>IF(D302&gt;1/1/2001,B301+1," ")</f>
        <v/>
      </c>
      <c r="C302" s="59">
        <f>IF(B302&lt;&gt;" ",CONCATENATE(A302,B302)," ")</f>
        <v/>
      </c>
      <c r="D302" s="69" t="n"/>
      <c r="E302" s="72" t="n"/>
      <c r="F302" s="72" t="n"/>
      <c r="G302" s="72" t="n"/>
      <c r="H302" s="72" t="n"/>
      <c r="I302" s="72" t="n"/>
      <c r="J302" s="71" t="n"/>
      <c r="K302" s="73" t="n"/>
    </row>
    <row r="303">
      <c r="A303" s="62" t="inlineStr">
        <is>
          <t>P</t>
        </is>
      </c>
      <c r="B303" s="60">
        <f>IF(D303&gt;1/1/2001,B302+1," ")</f>
        <v/>
      </c>
      <c r="C303" s="59">
        <f>IF(B303&lt;&gt;" ",CONCATENATE(A303,B303)," ")</f>
        <v/>
      </c>
      <c r="D303" s="69" t="n"/>
      <c r="E303" s="72" t="n"/>
      <c r="F303" s="72" t="n"/>
      <c r="G303" s="72" t="n"/>
      <c r="H303" s="72" t="n"/>
      <c r="I303" s="72" t="n"/>
      <c r="J303" s="71" t="n"/>
      <c r="K303" s="73" t="n"/>
    </row>
    <row r="304">
      <c r="A304" s="62" t="inlineStr">
        <is>
          <t>P</t>
        </is>
      </c>
      <c r="B304" s="60">
        <f>IF(D304&gt;1/1/2001,B303+1," ")</f>
        <v/>
      </c>
      <c r="C304" s="59">
        <f>IF(B304&lt;&gt;" ",CONCATENATE(A304,B304)," ")</f>
        <v/>
      </c>
      <c r="D304" s="69" t="n"/>
      <c r="E304" s="72" t="n"/>
      <c r="F304" s="72" t="n"/>
      <c r="G304" s="72" t="n"/>
      <c r="H304" s="72" t="n"/>
      <c r="I304" s="72" t="n"/>
      <c r="J304" s="71" t="n"/>
      <c r="K304" s="73" t="n"/>
    </row>
    <row r="305">
      <c r="A305" s="62" t="inlineStr">
        <is>
          <t>P</t>
        </is>
      </c>
      <c r="B305" s="60">
        <f>IF(D305&gt;1/1/2001,B304+1," ")</f>
        <v/>
      </c>
      <c r="C305" s="59">
        <f>IF(B305&lt;&gt;" ",CONCATENATE(A305,B305)," ")</f>
        <v/>
      </c>
      <c r="D305" s="69" t="n"/>
      <c r="E305" s="72" t="n"/>
      <c r="F305" s="72" t="n"/>
      <c r="G305" s="72" t="n"/>
      <c r="H305" s="72" t="n"/>
      <c r="I305" s="72" t="n"/>
      <c r="J305" s="71" t="n"/>
      <c r="K305" s="73" t="n"/>
    </row>
    <row r="306">
      <c r="A306" s="62" t="inlineStr">
        <is>
          <t>P</t>
        </is>
      </c>
      <c r="B306" s="60">
        <f>IF(D306&gt;1/1/2001,B305+1," ")</f>
        <v/>
      </c>
      <c r="C306" s="59">
        <f>IF(B306&lt;&gt;" ",CONCATENATE(A306,B306)," ")</f>
        <v/>
      </c>
      <c r="D306" s="69" t="n"/>
      <c r="E306" s="72" t="n"/>
      <c r="F306" s="72" t="n"/>
      <c r="G306" s="72" t="n"/>
      <c r="H306" s="72" t="n"/>
      <c r="I306" s="72" t="n"/>
      <c r="J306" s="71" t="n"/>
      <c r="K306" s="73" t="n"/>
    </row>
    <row r="307">
      <c r="A307" s="62" t="inlineStr">
        <is>
          <t>P</t>
        </is>
      </c>
      <c r="B307" s="60">
        <f>IF(D307&gt;1/1/2001,B306+1," ")</f>
        <v/>
      </c>
      <c r="C307" s="59">
        <f>IF(B307&lt;&gt;" ",CONCATENATE(A307,B307)," ")</f>
        <v/>
      </c>
      <c r="D307" s="69" t="n"/>
      <c r="E307" s="72" t="n"/>
      <c r="F307" s="72" t="n"/>
      <c r="G307" s="72" t="n"/>
      <c r="H307" s="72" t="n"/>
      <c r="I307" s="72" t="n"/>
      <c r="J307" s="71" t="n"/>
      <c r="K307" s="73" t="n"/>
    </row>
    <row r="308">
      <c r="A308" s="62" t="inlineStr">
        <is>
          <t>P</t>
        </is>
      </c>
      <c r="B308" s="60">
        <f>IF(D308&gt;1/1/2001,B307+1," ")</f>
        <v/>
      </c>
      <c r="C308" s="59">
        <f>IF(B308&lt;&gt;" ",CONCATENATE(A308,B308)," ")</f>
        <v/>
      </c>
      <c r="D308" s="69" t="n"/>
      <c r="E308" s="72" t="n"/>
      <c r="F308" s="72" t="n"/>
      <c r="G308" s="72" t="n"/>
      <c r="H308" s="72" t="n"/>
      <c r="I308" s="72" t="n"/>
      <c r="J308" s="71" t="n"/>
      <c r="K308" s="73" t="n"/>
    </row>
    <row r="309">
      <c r="A309" s="62" t="inlineStr">
        <is>
          <t>P</t>
        </is>
      </c>
      <c r="B309" s="60">
        <f>IF(D309&gt;1/1/2001,B308+1," ")</f>
        <v/>
      </c>
      <c r="C309" s="59">
        <f>IF(B309&lt;&gt;" ",CONCATENATE(A309,B309)," ")</f>
        <v/>
      </c>
      <c r="D309" s="69" t="n"/>
      <c r="E309" s="72" t="n"/>
      <c r="F309" s="72" t="n"/>
      <c r="G309" s="72" t="n"/>
      <c r="H309" s="72" t="n"/>
      <c r="I309" s="72" t="n"/>
      <c r="J309" s="71" t="n"/>
      <c r="K309" s="73" t="n"/>
    </row>
    <row r="310">
      <c r="A310" s="62" t="inlineStr">
        <is>
          <t>P</t>
        </is>
      </c>
      <c r="B310" s="60">
        <f>IF(D310&gt;1/1/2001,B309+1," ")</f>
        <v/>
      </c>
      <c r="C310" s="59">
        <f>IF(B310&lt;&gt;" ",CONCATENATE(A310,B310)," ")</f>
        <v/>
      </c>
      <c r="D310" s="69" t="n"/>
      <c r="E310" s="72" t="n"/>
      <c r="F310" s="72" t="n"/>
      <c r="G310" s="72" t="n"/>
      <c r="H310" s="72" t="n"/>
      <c r="I310" s="72" t="n"/>
      <c r="J310" s="71" t="n"/>
      <c r="K310" s="73" t="n"/>
    </row>
    <row r="311">
      <c r="A311" s="62" t="inlineStr">
        <is>
          <t>P</t>
        </is>
      </c>
      <c r="B311" s="60">
        <f>IF(D311&gt;1/1/2001,B310+1," ")</f>
        <v/>
      </c>
      <c r="C311" s="59">
        <f>IF(B311&lt;&gt;" ",CONCATENATE(A311,B311)," ")</f>
        <v/>
      </c>
      <c r="D311" s="69" t="n"/>
      <c r="E311" s="72" t="n"/>
      <c r="F311" s="72" t="n"/>
      <c r="G311" s="72" t="n"/>
      <c r="H311" s="72" t="n"/>
      <c r="I311" s="72" t="n"/>
      <c r="J311" s="71" t="n"/>
      <c r="K311" s="73" t="n"/>
    </row>
    <row r="312">
      <c r="A312" s="62" t="inlineStr">
        <is>
          <t>P</t>
        </is>
      </c>
      <c r="B312" s="60">
        <f>IF(D312&gt;1/1/2001,B311+1," ")</f>
        <v/>
      </c>
      <c r="C312" s="59">
        <f>IF(B312&lt;&gt;" ",CONCATENATE(A312,B312)," ")</f>
        <v/>
      </c>
      <c r="D312" s="69" t="n"/>
      <c r="E312" s="72" t="n"/>
      <c r="F312" s="72" t="n"/>
      <c r="G312" s="72" t="n"/>
      <c r="H312" s="72" t="n"/>
      <c r="I312" s="72" t="n"/>
      <c r="J312" s="71" t="n"/>
      <c r="K312" s="73" t="n"/>
    </row>
    <row r="313">
      <c r="A313" s="62" t="inlineStr">
        <is>
          <t>P</t>
        </is>
      </c>
      <c r="B313" s="60">
        <f>IF(D313&gt;1/1/2001,B312+1," ")</f>
        <v/>
      </c>
      <c r="C313" s="59">
        <f>IF(B313&lt;&gt;" ",CONCATENATE(A313,B313)," ")</f>
        <v/>
      </c>
      <c r="D313" s="69" t="n"/>
      <c r="E313" s="72" t="n"/>
      <c r="F313" s="72" t="n"/>
      <c r="G313" s="72" t="n"/>
      <c r="H313" s="72" t="n"/>
      <c r="I313" s="72" t="n"/>
      <c r="J313" s="71" t="n"/>
      <c r="K313" s="73" t="n"/>
    </row>
    <row r="314">
      <c r="A314" s="62" t="inlineStr">
        <is>
          <t>P</t>
        </is>
      </c>
      <c r="B314" s="60">
        <f>IF(D314&gt;1/1/2001,B313+1," ")</f>
        <v/>
      </c>
      <c r="C314" s="59">
        <f>IF(B314&lt;&gt;" ",CONCATENATE(A314,B314)," ")</f>
        <v/>
      </c>
      <c r="D314" s="69" t="n"/>
      <c r="E314" s="72" t="n"/>
      <c r="F314" s="72" t="n"/>
      <c r="G314" s="72" t="n"/>
      <c r="H314" s="72" t="n"/>
      <c r="I314" s="72" t="n"/>
      <c r="J314" s="71" t="n"/>
      <c r="K314" s="73" t="n"/>
    </row>
    <row r="315">
      <c r="A315" s="62" t="inlineStr">
        <is>
          <t>P</t>
        </is>
      </c>
      <c r="B315" s="60">
        <f>IF(D315&gt;1/1/2001,B314+1," ")</f>
        <v/>
      </c>
      <c r="C315" s="59">
        <f>IF(B315&lt;&gt;" ",CONCATENATE(A315,B315)," ")</f>
        <v/>
      </c>
      <c r="D315" s="69" t="n"/>
      <c r="E315" s="72" t="n"/>
      <c r="F315" s="72" t="n"/>
      <c r="G315" s="72" t="n"/>
      <c r="H315" s="72" t="n"/>
      <c r="I315" s="72" t="n"/>
      <c r="J315" s="71" t="n"/>
      <c r="K315" s="73" t="n"/>
    </row>
    <row r="316">
      <c r="A316" s="62" t="inlineStr">
        <is>
          <t>P</t>
        </is>
      </c>
      <c r="B316" s="60">
        <f>IF(D316&gt;1/1/2001,B315+1," ")</f>
        <v/>
      </c>
      <c r="C316" s="59">
        <f>IF(B316&lt;&gt;" ",CONCATENATE(A316,B316)," ")</f>
        <v/>
      </c>
      <c r="D316" s="69" t="n"/>
      <c r="E316" s="72" t="n"/>
      <c r="F316" s="72" t="n"/>
      <c r="G316" s="72" t="n"/>
      <c r="H316" s="72" t="n"/>
      <c r="I316" s="72" t="n"/>
      <c r="J316" s="71" t="n"/>
      <c r="K316" s="73" t="n"/>
    </row>
    <row r="317">
      <c r="A317" s="62" t="inlineStr">
        <is>
          <t>P</t>
        </is>
      </c>
      <c r="B317" s="60">
        <f>IF(D317&gt;1/1/2001,B316+1," ")</f>
        <v/>
      </c>
      <c r="C317" s="59">
        <f>IF(B317&lt;&gt;" ",CONCATENATE(A317,B317)," ")</f>
        <v/>
      </c>
      <c r="D317" s="69" t="n"/>
      <c r="E317" s="72" t="n"/>
      <c r="F317" s="72" t="n"/>
      <c r="G317" s="72" t="n"/>
      <c r="H317" s="72" t="n"/>
      <c r="I317" s="72" t="n"/>
      <c r="J317" s="71" t="n"/>
      <c r="K317" s="73" t="n"/>
    </row>
    <row r="318">
      <c r="A318" s="62" t="inlineStr">
        <is>
          <t>P</t>
        </is>
      </c>
      <c r="B318" s="60">
        <f>IF(D318&gt;1/1/2001,B317+1," ")</f>
        <v/>
      </c>
      <c r="C318" s="59">
        <f>IF(B318&lt;&gt;" ",CONCATENATE(A318,B318)," ")</f>
        <v/>
      </c>
      <c r="D318" s="69" t="n"/>
      <c r="E318" s="72" t="n"/>
      <c r="F318" s="72" t="n"/>
      <c r="G318" s="72" t="n"/>
      <c r="H318" s="72" t="n"/>
      <c r="I318" s="72" t="n"/>
      <c r="J318" s="71" t="n"/>
      <c r="K318" s="73" t="n"/>
    </row>
    <row r="319">
      <c r="A319" s="62" t="inlineStr">
        <is>
          <t>P</t>
        </is>
      </c>
      <c r="B319" s="60">
        <f>IF(D319&gt;1/1/2001,B318+1," ")</f>
        <v/>
      </c>
      <c r="C319" s="59">
        <f>IF(B319&lt;&gt;" ",CONCATENATE(A319,B319)," ")</f>
        <v/>
      </c>
      <c r="D319" s="69" t="n"/>
      <c r="E319" s="72" t="n"/>
      <c r="F319" s="72" t="n"/>
      <c r="G319" s="72" t="n"/>
      <c r="H319" s="72" t="n"/>
      <c r="I319" s="72" t="n"/>
      <c r="J319" s="71" t="n"/>
      <c r="K319" s="73" t="n"/>
    </row>
    <row r="320">
      <c r="A320" s="62" t="inlineStr">
        <is>
          <t>P</t>
        </is>
      </c>
      <c r="B320" s="60">
        <f>IF(D320&gt;1/1/2001,B319+1," ")</f>
        <v/>
      </c>
      <c r="C320" s="59">
        <f>IF(B320&lt;&gt;" ",CONCATENATE(A320,B320)," ")</f>
        <v/>
      </c>
      <c r="D320" s="69" t="n"/>
      <c r="E320" s="72" t="n"/>
      <c r="F320" s="72" t="n"/>
      <c r="G320" s="72" t="n"/>
      <c r="H320" s="72" t="n"/>
      <c r="I320" s="72" t="n"/>
      <c r="J320" s="71" t="n"/>
      <c r="K320" s="73" t="n"/>
    </row>
    <row r="321">
      <c r="A321" s="62" t="inlineStr">
        <is>
          <t>P</t>
        </is>
      </c>
      <c r="B321" s="60">
        <f>IF(D321&gt;1/1/2001,B320+1," ")</f>
        <v/>
      </c>
      <c r="C321" s="59">
        <f>IF(B321&lt;&gt;" ",CONCATENATE(A321,B321)," ")</f>
        <v/>
      </c>
      <c r="D321" s="69" t="n"/>
      <c r="E321" s="72" t="n"/>
      <c r="F321" s="72" t="n"/>
      <c r="G321" s="72" t="n"/>
      <c r="H321" s="72" t="n"/>
      <c r="I321" s="72" t="n"/>
      <c r="J321" s="71" t="n"/>
      <c r="K321" s="73" t="n"/>
    </row>
    <row r="322">
      <c r="A322" s="62" t="inlineStr">
        <is>
          <t>P</t>
        </is>
      </c>
      <c r="B322" s="60">
        <f>IF(D322&gt;1/1/2001,B321+1," ")</f>
        <v/>
      </c>
      <c r="C322" s="59">
        <f>IF(B322&lt;&gt;" ",CONCATENATE(A322,B322)," ")</f>
        <v/>
      </c>
      <c r="D322" s="69" t="n"/>
      <c r="E322" s="72" t="n"/>
      <c r="F322" s="72" t="n"/>
      <c r="G322" s="72" t="n"/>
      <c r="H322" s="72" t="n"/>
      <c r="I322" s="72" t="n"/>
      <c r="J322" s="71" t="n"/>
      <c r="K322" s="73" t="n"/>
    </row>
    <row r="323">
      <c r="A323" s="62" t="inlineStr">
        <is>
          <t>P</t>
        </is>
      </c>
      <c r="B323" s="60">
        <f>IF(D323&gt;1/1/2001,B322+1," ")</f>
        <v/>
      </c>
      <c r="C323" s="59">
        <f>IF(B323&lt;&gt;" ",CONCATENATE(A323,B323)," ")</f>
        <v/>
      </c>
      <c r="D323" s="69" t="n"/>
      <c r="E323" s="72" t="n"/>
      <c r="F323" s="72" t="n"/>
      <c r="G323" s="72" t="n"/>
      <c r="H323" s="72" t="n"/>
      <c r="I323" s="72" t="n"/>
      <c r="J323" s="71" t="n"/>
      <c r="K323" s="73" t="n"/>
    </row>
    <row r="324">
      <c r="A324" s="62" t="inlineStr">
        <is>
          <t>P</t>
        </is>
      </c>
      <c r="B324" s="60">
        <f>IF(D324&gt;1/1/2001,B323+1," ")</f>
        <v/>
      </c>
      <c r="C324" s="59">
        <f>IF(B324&lt;&gt;" ",CONCATENATE(A324,B324)," ")</f>
        <v/>
      </c>
      <c r="D324" s="69" t="n"/>
      <c r="E324" s="72" t="n"/>
      <c r="F324" s="72" t="n"/>
      <c r="G324" s="72" t="n"/>
      <c r="H324" s="72" t="n"/>
      <c r="I324" s="72" t="n"/>
      <c r="J324" s="71" t="n"/>
      <c r="K324" s="73" t="n"/>
    </row>
    <row r="325">
      <c r="A325" s="62" t="inlineStr">
        <is>
          <t>P</t>
        </is>
      </c>
      <c r="B325" s="60">
        <f>IF(D325&gt;1/1/2001,B324+1," ")</f>
        <v/>
      </c>
      <c r="C325" s="59">
        <f>IF(B325&lt;&gt;" ",CONCATENATE(A325,B325)," ")</f>
        <v/>
      </c>
      <c r="D325" s="69" t="n"/>
      <c r="E325" s="72" t="n"/>
      <c r="F325" s="72" t="n"/>
      <c r="G325" s="72" t="n"/>
      <c r="H325" s="72" t="n"/>
      <c r="I325" s="72" t="n"/>
      <c r="J325" s="71" t="n"/>
      <c r="K325" s="73" t="n"/>
    </row>
    <row r="326">
      <c r="A326" s="62" t="inlineStr">
        <is>
          <t>P</t>
        </is>
      </c>
      <c r="B326" s="60">
        <f>IF(D326&gt;1/1/2001,B325+1," ")</f>
        <v/>
      </c>
      <c r="C326" s="59">
        <f>IF(B326&lt;&gt;" ",CONCATENATE(A326,B326)," ")</f>
        <v/>
      </c>
      <c r="D326" s="69" t="n"/>
      <c r="E326" s="72" t="n"/>
      <c r="F326" s="72" t="n"/>
      <c r="G326" s="72" t="n"/>
      <c r="H326" s="72" t="n"/>
      <c r="I326" s="72" t="n"/>
      <c r="J326" s="71" t="n"/>
      <c r="K326" s="73" t="n"/>
    </row>
    <row r="327">
      <c r="A327" s="62" t="inlineStr">
        <is>
          <t>P</t>
        </is>
      </c>
      <c r="B327" s="60">
        <f>IF(D327&gt;1/1/2001,B326+1," ")</f>
        <v/>
      </c>
      <c r="C327" s="59">
        <f>IF(B327&lt;&gt;" ",CONCATENATE(A327,B327)," ")</f>
        <v/>
      </c>
      <c r="D327" s="69" t="n"/>
      <c r="E327" s="72" t="n"/>
      <c r="F327" s="72" t="n"/>
      <c r="G327" s="72" t="n"/>
      <c r="H327" s="72" t="n"/>
      <c r="I327" s="72" t="n"/>
      <c r="J327" s="71" t="n"/>
      <c r="K327" s="73" t="n"/>
    </row>
    <row r="328">
      <c r="A328" s="62" t="inlineStr">
        <is>
          <t>P</t>
        </is>
      </c>
      <c r="B328" s="60">
        <f>IF(D328&gt;1/1/2001,B327+1," ")</f>
        <v/>
      </c>
      <c r="C328" s="59">
        <f>IF(B328&lt;&gt;" ",CONCATENATE(A328,B328)," ")</f>
        <v/>
      </c>
      <c r="D328" s="69" t="n"/>
      <c r="E328" s="72" t="n"/>
      <c r="F328" s="72" t="n"/>
      <c r="G328" s="72" t="n"/>
      <c r="H328" s="72" t="n"/>
      <c r="I328" s="72" t="n"/>
      <c r="J328" s="71" t="n"/>
      <c r="K328" s="73" t="n"/>
    </row>
    <row r="329">
      <c r="A329" s="62" t="inlineStr">
        <is>
          <t>P</t>
        </is>
      </c>
      <c r="B329" s="60">
        <f>IF(D329&gt;1/1/2001,B328+1," ")</f>
        <v/>
      </c>
      <c r="C329" s="59">
        <f>IF(B329&lt;&gt;" ",CONCATENATE(A329,B329)," ")</f>
        <v/>
      </c>
      <c r="D329" s="69" t="n"/>
      <c r="E329" s="72" t="n"/>
      <c r="F329" s="72" t="n"/>
      <c r="G329" s="72" t="n"/>
      <c r="H329" s="72" t="n"/>
      <c r="I329" s="72" t="n"/>
      <c r="J329" s="71" t="n"/>
      <c r="K329" s="73" t="n"/>
    </row>
    <row r="330">
      <c r="A330" s="62" t="inlineStr">
        <is>
          <t>P</t>
        </is>
      </c>
      <c r="B330" s="60">
        <f>IF(D330&gt;1/1/2001,B329+1," ")</f>
        <v/>
      </c>
      <c r="C330" s="59">
        <f>IF(B330&lt;&gt;" ",CONCATENATE(A330,B330)," ")</f>
        <v/>
      </c>
      <c r="D330" s="69" t="n"/>
      <c r="E330" s="72" t="n"/>
      <c r="F330" s="72" t="n"/>
      <c r="G330" s="72" t="n"/>
      <c r="H330" s="72" t="n"/>
      <c r="I330" s="72" t="n"/>
      <c r="J330" s="71" t="n"/>
      <c r="K330" s="73" t="n"/>
    </row>
    <row r="331">
      <c r="A331" s="62" t="inlineStr">
        <is>
          <t>P</t>
        </is>
      </c>
      <c r="B331" s="60">
        <f>IF(D331&gt;1/1/2001,B330+1," ")</f>
        <v/>
      </c>
      <c r="C331" s="59">
        <f>IF(B331&lt;&gt;" ",CONCATENATE(A331,B331)," ")</f>
        <v/>
      </c>
      <c r="D331" s="69" t="n"/>
      <c r="E331" s="72" t="n"/>
      <c r="F331" s="72" t="n"/>
      <c r="G331" s="72" t="n"/>
      <c r="H331" s="72" t="n"/>
      <c r="I331" s="72" t="n"/>
      <c r="J331" s="71" t="n"/>
      <c r="K331" s="73" t="n"/>
    </row>
    <row r="332">
      <c r="A332" s="62" t="inlineStr">
        <is>
          <t>P</t>
        </is>
      </c>
      <c r="B332" s="60">
        <f>IF(D332&gt;1/1/2001,B331+1," ")</f>
        <v/>
      </c>
      <c r="C332" s="59">
        <f>IF(B332&lt;&gt;" ",CONCATENATE(A332,B332)," ")</f>
        <v/>
      </c>
      <c r="D332" s="69" t="n"/>
      <c r="E332" s="72" t="n"/>
      <c r="F332" s="72" t="n"/>
      <c r="G332" s="72" t="n"/>
      <c r="H332" s="72" t="n"/>
      <c r="I332" s="72" t="n"/>
      <c r="J332" s="71" t="n"/>
      <c r="K332" s="73" t="n"/>
    </row>
    <row r="333">
      <c r="A333" s="62" t="inlineStr">
        <is>
          <t>P</t>
        </is>
      </c>
      <c r="B333" s="60">
        <f>IF(D333&gt;1/1/2001,B332+1," ")</f>
        <v/>
      </c>
      <c r="C333" s="59">
        <f>IF(B333&lt;&gt;" ",CONCATENATE(A333,B333)," ")</f>
        <v/>
      </c>
      <c r="D333" s="69" t="n"/>
      <c r="E333" s="72" t="n"/>
      <c r="F333" s="72" t="n"/>
      <c r="G333" s="72" t="n"/>
      <c r="H333" s="72" t="n"/>
      <c r="I333" s="72" t="n"/>
      <c r="J333" s="71" t="n"/>
      <c r="K333" s="73" t="n"/>
    </row>
    <row r="334">
      <c r="A334" s="62" t="inlineStr">
        <is>
          <t>P</t>
        </is>
      </c>
      <c r="B334" s="60">
        <f>IF(D334&gt;1/1/2001,B333+1," ")</f>
        <v/>
      </c>
      <c r="C334" s="59">
        <f>IF(B334&lt;&gt;" ",CONCATENATE(A334,B334)," ")</f>
        <v/>
      </c>
      <c r="D334" s="69" t="n"/>
      <c r="E334" s="72" t="n"/>
      <c r="F334" s="72" t="n"/>
      <c r="G334" s="72" t="n"/>
      <c r="H334" s="72" t="n"/>
      <c r="I334" s="72" t="n"/>
      <c r="J334" s="71" t="n"/>
      <c r="K334" s="73" t="n"/>
    </row>
    <row r="335">
      <c r="A335" s="62" t="inlineStr">
        <is>
          <t>P</t>
        </is>
      </c>
      <c r="B335" s="60">
        <f>IF(D335&gt;1/1/2001,B334+1," ")</f>
        <v/>
      </c>
      <c r="C335" s="59">
        <f>IF(B335&lt;&gt;" ",CONCATENATE(A335,B335)," ")</f>
        <v/>
      </c>
      <c r="D335" s="69" t="n"/>
      <c r="E335" s="72" t="n"/>
      <c r="F335" s="72" t="n"/>
      <c r="G335" s="72" t="n"/>
      <c r="H335" s="72" t="n"/>
      <c r="I335" s="72" t="n"/>
      <c r="J335" s="71" t="n"/>
      <c r="K335" s="73" t="n"/>
    </row>
    <row r="336">
      <c r="A336" s="62" t="inlineStr">
        <is>
          <t>P</t>
        </is>
      </c>
      <c r="B336" s="60">
        <f>IF(D336&gt;1/1/2001,B335+1," ")</f>
        <v/>
      </c>
      <c r="C336" s="59">
        <f>IF(B336&lt;&gt;" ",CONCATENATE(A336,B336)," ")</f>
        <v/>
      </c>
      <c r="D336" s="69" t="n"/>
      <c r="E336" s="72" t="n"/>
      <c r="F336" s="72" t="n"/>
      <c r="G336" s="72" t="n"/>
      <c r="H336" s="72" t="n"/>
      <c r="I336" s="72" t="n"/>
      <c r="J336" s="71" t="n"/>
      <c r="K336" s="73" t="n"/>
    </row>
    <row r="337">
      <c r="A337" s="62" t="inlineStr">
        <is>
          <t>P</t>
        </is>
      </c>
      <c r="B337" s="60">
        <f>IF(D337&gt;1/1/2001,B336+1," ")</f>
        <v/>
      </c>
      <c r="C337" s="59">
        <f>IF(B337&lt;&gt;" ",CONCATENATE(A337,B337)," ")</f>
        <v/>
      </c>
      <c r="D337" s="69" t="n"/>
      <c r="E337" s="72" t="n"/>
      <c r="F337" s="72" t="n"/>
      <c r="G337" s="72" t="n"/>
      <c r="H337" s="72" t="n"/>
      <c r="I337" s="72" t="n"/>
      <c r="J337" s="71" t="n"/>
      <c r="K337" s="73" t="n"/>
    </row>
    <row r="338">
      <c r="A338" s="62" t="inlineStr">
        <is>
          <t>P</t>
        </is>
      </c>
      <c r="B338" s="60">
        <f>IF(D338&gt;1/1/2001,B337+1," ")</f>
        <v/>
      </c>
      <c r="C338" s="59">
        <f>IF(B338&lt;&gt;" ",CONCATENATE(A338,B338)," ")</f>
        <v/>
      </c>
      <c r="D338" s="69" t="n"/>
      <c r="E338" s="72" t="n"/>
      <c r="F338" s="72" t="n"/>
      <c r="G338" s="72" t="n"/>
      <c r="H338" s="72" t="n"/>
      <c r="I338" s="72" t="n"/>
      <c r="J338" s="71" t="n"/>
      <c r="K338" s="73" t="n"/>
    </row>
    <row r="339">
      <c r="A339" s="62" t="inlineStr">
        <is>
          <t>P</t>
        </is>
      </c>
      <c r="B339" s="60">
        <f>IF(D339&gt;1/1/2001,B338+1," ")</f>
        <v/>
      </c>
      <c r="C339" s="59">
        <f>IF(B339&lt;&gt;" ",CONCATENATE(A339,B339)," ")</f>
        <v/>
      </c>
      <c r="D339" s="69" t="n"/>
      <c r="E339" s="72" t="n"/>
      <c r="F339" s="72" t="n"/>
      <c r="G339" s="72" t="n"/>
      <c r="H339" s="72" t="n"/>
      <c r="I339" s="72" t="n"/>
      <c r="J339" s="71" t="n"/>
      <c r="K339" s="73" t="n"/>
    </row>
    <row r="340">
      <c r="A340" s="62" t="inlineStr">
        <is>
          <t>P</t>
        </is>
      </c>
      <c r="B340" s="60">
        <f>IF(D340&gt;1/1/2001,B339+1," ")</f>
        <v/>
      </c>
      <c r="C340" s="59">
        <f>IF(B340&lt;&gt;" ",CONCATENATE(A340,B340)," ")</f>
        <v/>
      </c>
      <c r="D340" s="69" t="n"/>
      <c r="E340" s="72" t="n"/>
      <c r="F340" s="72" t="n"/>
      <c r="G340" s="72" t="n"/>
      <c r="H340" s="72" t="n"/>
      <c r="I340" s="72" t="n"/>
      <c r="J340" s="71" t="n"/>
      <c r="K340" s="73" t="n"/>
    </row>
    <row r="341">
      <c r="A341" s="62" t="inlineStr">
        <is>
          <t>P</t>
        </is>
      </c>
      <c r="B341" s="60">
        <f>IF(D341&gt;1/1/2001,B340+1," ")</f>
        <v/>
      </c>
      <c r="C341" s="59">
        <f>IF(B341&lt;&gt;" ",CONCATENATE(A341,B341)," ")</f>
        <v/>
      </c>
      <c r="D341" s="69" t="n"/>
      <c r="E341" s="72" t="n"/>
      <c r="F341" s="72" t="n"/>
      <c r="G341" s="72" t="n"/>
      <c r="H341" s="72" t="n"/>
      <c r="I341" s="72" t="n"/>
      <c r="J341" s="71" t="n"/>
      <c r="K341" s="73" t="n"/>
    </row>
    <row r="342">
      <c r="A342" s="62" t="inlineStr">
        <is>
          <t>P</t>
        </is>
      </c>
      <c r="B342" s="60">
        <f>IF(D342&gt;1/1/2001,B341+1," ")</f>
        <v/>
      </c>
      <c r="C342" s="59">
        <f>IF(B342&lt;&gt;" ",CONCATENATE(A342,B342)," ")</f>
        <v/>
      </c>
      <c r="D342" s="69" t="n"/>
      <c r="E342" s="72" t="n"/>
      <c r="F342" s="72" t="n"/>
      <c r="G342" s="72" t="n"/>
      <c r="H342" s="72" t="n"/>
      <c r="I342" s="72" t="n"/>
      <c r="J342" s="71" t="n"/>
      <c r="K342" s="73" t="n"/>
    </row>
    <row r="343">
      <c r="A343" s="62" t="inlineStr">
        <is>
          <t>P</t>
        </is>
      </c>
      <c r="B343" s="60">
        <f>IF(D343&gt;1/1/2001,B342+1," ")</f>
        <v/>
      </c>
      <c r="C343" s="59">
        <f>IF(B343&lt;&gt;" ",CONCATENATE(A343,B343)," ")</f>
        <v/>
      </c>
      <c r="D343" s="69" t="n"/>
      <c r="E343" s="72" t="n"/>
      <c r="F343" s="72" t="n"/>
      <c r="G343" s="72" t="n"/>
      <c r="H343" s="72" t="n"/>
      <c r="I343" s="72" t="n"/>
      <c r="J343" s="71" t="n"/>
      <c r="K343" s="73" t="n"/>
    </row>
    <row r="344">
      <c r="A344" s="62" t="inlineStr">
        <is>
          <t>P</t>
        </is>
      </c>
      <c r="B344" s="60">
        <f>IF(D344&gt;1/1/2001,B343+1," ")</f>
        <v/>
      </c>
      <c r="C344" s="59">
        <f>IF(B344&lt;&gt;" ",CONCATENATE(A344,B344)," ")</f>
        <v/>
      </c>
      <c r="D344" s="69" t="n"/>
      <c r="E344" s="72" t="n"/>
      <c r="F344" s="72" t="n"/>
      <c r="G344" s="72" t="n"/>
      <c r="H344" s="72" t="n"/>
      <c r="I344" s="72" t="n"/>
      <c r="J344" s="71" t="n"/>
      <c r="K344" s="73" t="n"/>
    </row>
    <row r="345">
      <c r="A345" s="62" t="inlineStr">
        <is>
          <t>P</t>
        </is>
      </c>
      <c r="B345" s="60">
        <f>IF(D345&gt;1/1/2001,B344+1," ")</f>
        <v/>
      </c>
      <c r="C345" s="59">
        <f>IF(B345&lt;&gt;" ",CONCATENATE(A345,B345)," ")</f>
        <v/>
      </c>
      <c r="D345" s="69" t="n"/>
      <c r="E345" s="72" t="n"/>
      <c r="F345" s="72" t="n"/>
      <c r="G345" s="72" t="n"/>
      <c r="H345" s="72" t="n"/>
      <c r="I345" s="72" t="n"/>
      <c r="J345" s="71" t="n"/>
      <c r="K345" s="73" t="n"/>
    </row>
    <row r="346">
      <c r="A346" s="62" t="inlineStr">
        <is>
          <t>P</t>
        </is>
      </c>
      <c r="B346" s="60">
        <f>IF(D346&gt;1/1/2001,B345+1," ")</f>
        <v/>
      </c>
      <c r="C346" s="59">
        <f>IF(B346&lt;&gt;" ",CONCATENATE(A346,B346)," ")</f>
        <v/>
      </c>
      <c r="D346" s="69" t="n"/>
      <c r="E346" s="72" t="n"/>
      <c r="F346" s="72" t="n"/>
      <c r="G346" s="72" t="n"/>
      <c r="H346" s="72" t="n"/>
      <c r="I346" s="72" t="n"/>
      <c r="J346" s="71" t="n"/>
      <c r="K346" s="73" t="n"/>
    </row>
    <row r="347">
      <c r="A347" s="62" t="inlineStr">
        <is>
          <t>P</t>
        </is>
      </c>
      <c r="B347" s="60">
        <f>IF(D347&gt;1/1/2001,B346+1," ")</f>
        <v/>
      </c>
      <c r="C347" s="59">
        <f>IF(B347&lt;&gt;" ",CONCATENATE(A347,B347)," ")</f>
        <v/>
      </c>
      <c r="D347" s="69" t="n"/>
      <c r="E347" s="72" t="n"/>
      <c r="F347" s="72" t="n"/>
      <c r="G347" s="72" t="n"/>
      <c r="H347" s="72" t="n"/>
      <c r="I347" s="72" t="n"/>
      <c r="J347" s="71" t="n"/>
      <c r="K347" s="73" t="n"/>
    </row>
    <row r="348">
      <c r="A348" s="62" t="inlineStr">
        <is>
          <t>P</t>
        </is>
      </c>
      <c r="B348" s="60">
        <f>IF(D348&gt;1/1/2001,B347+1," ")</f>
        <v/>
      </c>
      <c r="C348" s="59">
        <f>IF(B348&lt;&gt;" ",CONCATENATE(A348,B348)," ")</f>
        <v/>
      </c>
      <c r="D348" s="69" t="n"/>
      <c r="E348" s="72" t="n"/>
      <c r="F348" s="72" t="n"/>
      <c r="G348" s="72" t="n"/>
      <c r="H348" s="72" t="n"/>
      <c r="I348" s="72" t="n"/>
      <c r="J348" s="71" t="n"/>
      <c r="K348" s="73" t="n"/>
    </row>
    <row r="349">
      <c r="A349" s="62" t="inlineStr">
        <is>
          <t>P</t>
        </is>
      </c>
      <c r="B349" s="60">
        <f>IF(D349&gt;1/1/2001,B348+1," ")</f>
        <v/>
      </c>
      <c r="C349" s="59">
        <f>IF(B349&lt;&gt;" ",CONCATENATE(A349,B349)," ")</f>
        <v/>
      </c>
      <c r="D349" s="69" t="n"/>
      <c r="E349" s="72" t="n"/>
      <c r="F349" s="72" t="n"/>
      <c r="G349" s="72" t="n"/>
      <c r="H349" s="72" t="n"/>
      <c r="I349" s="72" t="n"/>
      <c r="J349" s="71" t="n"/>
      <c r="K349" s="73" t="n"/>
    </row>
    <row r="350">
      <c r="A350" s="62" t="inlineStr">
        <is>
          <t>P</t>
        </is>
      </c>
      <c r="B350" s="60">
        <f>IF(D350&gt;1/1/2001,B349+1," ")</f>
        <v/>
      </c>
      <c r="C350" s="59">
        <f>IF(B350&lt;&gt;" ",CONCATENATE(A350,B350)," ")</f>
        <v/>
      </c>
      <c r="D350" s="69" t="n"/>
      <c r="E350" s="72" t="n"/>
      <c r="F350" s="72" t="n"/>
      <c r="G350" s="72" t="n"/>
      <c r="H350" s="72" t="n"/>
      <c r="I350" s="72" t="n"/>
      <c r="J350" s="71" t="n"/>
      <c r="K350" s="73" t="n"/>
    </row>
    <row r="351">
      <c r="A351" s="62" t="inlineStr">
        <is>
          <t>P</t>
        </is>
      </c>
      <c r="B351" s="60">
        <f>IF(D351&gt;1/1/2001,B350+1," ")</f>
        <v/>
      </c>
      <c r="C351" s="59">
        <f>IF(B351&lt;&gt;" ",CONCATENATE(A351,B351)," ")</f>
        <v/>
      </c>
      <c r="D351" s="69" t="n"/>
      <c r="E351" s="72" t="n"/>
      <c r="F351" s="72" t="n"/>
      <c r="G351" s="72" t="n"/>
      <c r="H351" s="72" t="n"/>
      <c r="I351" s="72" t="n"/>
      <c r="J351" s="71" t="n"/>
      <c r="K351" s="73" t="n"/>
    </row>
    <row r="352">
      <c r="A352" s="62" t="inlineStr">
        <is>
          <t>P</t>
        </is>
      </c>
      <c r="B352" s="60">
        <f>IF(D352&gt;1/1/2001,B351+1," ")</f>
        <v/>
      </c>
      <c r="C352" s="59">
        <f>IF(B352&lt;&gt;" ",CONCATENATE(A352,B352)," ")</f>
        <v/>
      </c>
      <c r="D352" s="69" t="n"/>
      <c r="E352" s="72" t="n"/>
      <c r="F352" s="72" t="n"/>
      <c r="G352" s="72" t="n"/>
      <c r="H352" s="72" t="n"/>
      <c r="I352" s="72" t="n"/>
      <c r="J352" s="71" t="n"/>
      <c r="K352" s="73" t="n"/>
    </row>
    <row r="353">
      <c r="A353" s="62" t="inlineStr">
        <is>
          <t>P</t>
        </is>
      </c>
      <c r="B353" s="60">
        <f>IF(D353&gt;1/1/2001,B352+1," ")</f>
        <v/>
      </c>
      <c r="C353" s="59">
        <f>IF(B353&lt;&gt;" ",CONCATENATE(A353,B353)," ")</f>
        <v/>
      </c>
      <c r="D353" s="69" t="n"/>
      <c r="E353" s="72" t="n"/>
      <c r="F353" s="72" t="n"/>
      <c r="G353" s="72" t="n"/>
      <c r="H353" s="72" t="n"/>
      <c r="I353" s="72" t="n"/>
      <c r="J353" s="71" t="n"/>
      <c r="K353" s="73" t="n"/>
    </row>
    <row r="354">
      <c r="A354" s="62" t="inlineStr">
        <is>
          <t>P</t>
        </is>
      </c>
      <c r="B354" s="60">
        <f>IF(D354&gt;1/1/2001,B353+1," ")</f>
        <v/>
      </c>
      <c r="C354" s="59">
        <f>IF(B354&lt;&gt;" ",CONCATENATE(A354,B354)," ")</f>
        <v/>
      </c>
      <c r="D354" s="69" t="n"/>
      <c r="E354" s="72" t="n"/>
      <c r="F354" s="72" t="n"/>
      <c r="G354" s="72" t="n"/>
      <c r="H354" s="72" t="n"/>
      <c r="I354" s="72" t="n"/>
      <c r="J354" s="71" t="n"/>
      <c r="K354" s="73" t="n"/>
    </row>
    <row r="355">
      <c r="A355" s="62" t="inlineStr">
        <is>
          <t>P</t>
        </is>
      </c>
      <c r="B355" s="60">
        <f>IF(D355&gt;1/1/2001,B354+1," ")</f>
        <v/>
      </c>
      <c r="C355" s="59">
        <f>IF(B355&lt;&gt;" ",CONCATENATE(A355,B355)," ")</f>
        <v/>
      </c>
      <c r="D355" s="69" t="n"/>
      <c r="E355" s="72" t="n"/>
      <c r="F355" s="72" t="n"/>
      <c r="G355" s="72" t="n"/>
      <c r="H355" s="72" t="n"/>
      <c r="I355" s="72" t="n"/>
      <c r="J355" s="71" t="n"/>
      <c r="K355" s="73" t="n"/>
    </row>
    <row r="356">
      <c r="A356" s="62" t="inlineStr">
        <is>
          <t>P</t>
        </is>
      </c>
      <c r="B356" s="60">
        <f>IF(D356&gt;1/1/2001,B355+1," ")</f>
        <v/>
      </c>
      <c r="C356" s="59">
        <f>IF(B356&lt;&gt;" ",CONCATENATE(A356,B356)," ")</f>
        <v/>
      </c>
      <c r="D356" s="69" t="n"/>
      <c r="E356" s="72" t="n"/>
      <c r="F356" s="72" t="n"/>
      <c r="G356" s="72" t="n"/>
      <c r="H356" s="72" t="n"/>
      <c r="I356" s="72" t="n"/>
      <c r="J356" s="71" t="n"/>
      <c r="K356" s="73" t="n"/>
    </row>
    <row r="357">
      <c r="A357" s="62" t="inlineStr">
        <is>
          <t>P</t>
        </is>
      </c>
      <c r="B357" s="60">
        <f>IF(D357&gt;1/1/2001,B356+1," ")</f>
        <v/>
      </c>
      <c r="C357" s="59">
        <f>IF(B357&lt;&gt;" ",CONCATENATE(A357,B357)," ")</f>
        <v/>
      </c>
      <c r="D357" s="69" t="n"/>
      <c r="E357" s="72" t="n"/>
      <c r="F357" s="72" t="n"/>
      <c r="G357" s="72" t="n"/>
      <c r="H357" s="72" t="n"/>
      <c r="I357" s="72" t="n"/>
      <c r="J357" s="71" t="n"/>
      <c r="K357" s="73" t="n"/>
    </row>
    <row r="358">
      <c r="A358" s="62" t="inlineStr">
        <is>
          <t>P</t>
        </is>
      </c>
      <c r="B358" s="60">
        <f>IF(D358&gt;1/1/2001,B357+1," ")</f>
        <v/>
      </c>
      <c r="C358" s="59">
        <f>IF(B358&lt;&gt;" ",CONCATENATE(A358,B358)," ")</f>
        <v/>
      </c>
      <c r="D358" s="69" t="n"/>
      <c r="E358" s="72" t="n"/>
      <c r="F358" s="72" t="n"/>
      <c r="G358" s="72" t="n"/>
      <c r="H358" s="72" t="n"/>
      <c r="I358" s="72" t="n"/>
      <c r="J358" s="71" t="n"/>
      <c r="K358" s="73" t="n"/>
    </row>
    <row r="359">
      <c r="A359" s="62" t="inlineStr">
        <is>
          <t>P</t>
        </is>
      </c>
      <c r="B359" s="60">
        <f>IF(D359&gt;1/1/2001,B358+1," ")</f>
        <v/>
      </c>
      <c r="C359" s="59">
        <f>IF(B359&lt;&gt;" ",CONCATENATE(A359,B359)," ")</f>
        <v/>
      </c>
      <c r="D359" s="69" t="n"/>
      <c r="E359" s="72" t="n"/>
      <c r="F359" s="72" t="n"/>
      <c r="G359" s="72" t="n"/>
      <c r="H359" s="72" t="n"/>
      <c r="I359" s="72" t="n"/>
      <c r="J359" s="71" t="n"/>
      <c r="K359" s="73" t="n"/>
    </row>
    <row r="360">
      <c r="A360" s="62" t="inlineStr">
        <is>
          <t>P</t>
        </is>
      </c>
      <c r="B360" s="60">
        <f>IF(D360&gt;1/1/2001,B359+1," ")</f>
        <v/>
      </c>
      <c r="C360" s="59">
        <f>IF(B360&lt;&gt;" ",CONCATENATE(A360,B360)," ")</f>
        <v/>
      </c>
      <c r="D360" s="69" t="n"/>
      <c r="E360" s="72" t="n"/>
      <c r="F360" s="72" t="n"/>
      <c r="G360" s="72" t="n"/>
      <c r="H360" s="72" t="n"/>
      <c r="I360" s="72" t="n"/>
      <c r="J360" s="71" t="n"/>
      <c r="K360" s="73" t="n"/>
    </row>
    <row r="361">
      <c r="A361" s="62" t="inlineStr">
        <is>
          <t>P</t>
        </is>
      </c>
      <c r="B361" s="60">
        <f>IF(D361&gt;1/1/2001,B360+1," ")</f>
        <v/>
      </c>
      <c r="C361" s="59">
        <f>IF(B361&lt;&gt;" ",CONCATENATE(A361,B361)," ")</f>
        <v/>
      </c>
      <c r="D361" s="69" t="n"/>
      <c r="E361" s="72" t="n"/>
      <c r="F361" s="72" t="n"/>
      <c r="G361" s="72" t="n"/>
      <c r="H361" s="72" t="n"/>
      <c r="I361" s="72" t="n"/>
      <c r="J361" s="71" t="n"/>
      <c r="K361" s="73" t="n"/>
    </row>
    <row r="362">
      <c r="A362" s="62" t="inlineStr">
        <is>
          <t>P</t>
        </is>
      </c>
      <c r="B362" s="60">
        <f>IF(D362&gt;1/1/2001,B361+1," ")</f>
        <v/>
      </c>
      <c r="C362" s="59">
        <f>IF(B362&lt;&gt;" ",CONCATENATE(A362,B362)," ")</f>
        <v/>
      </c>
      <c r="D362" s="69" t="n"/>
      <c r="E362" s="72" t="n"/>
      <c r="F362" s="72" t="n"/>
      <c r="G362" s="72" t="n"/>
      <c r="H362" s="72" t="n"/>
      <c r="I362" s="72" t="n"/>
      <c r="J362" s="71" t="n"/>
      <c r="K362" s="73" t="n"/>
    </row>
    <row r="363">
      <c r="A363" s="62" t="inlineStr">
        <is>
          <t>P</t>
        </is>
      </c>
      <c r="B363" s="60">
        <f>IF(D363&gt;1/1/2001,B362+1," ")</f>
        <v/>
      </c>
      <c r="C363" s="59">
        <f>IF(B363&lt;&gt;" ",CONCATENATE(A363,B363)," ")</f>
        <v/>
      </c>
      <c r="D363" s="69" t="n"/>
      <c r="E363" s="72" t="n"/>
      <c r="F363" s="72" t="n"/>
      <c r="G363" s="72" t="n"/>
      <c r="H363" s="72" t="n"/>
      <c r="I363" s="72" t="n"/>
      <c r="J363" s="71" t="n"/>
      <c r="K363" s="73" t="n"/>
    </row>
    <row r="364">
      <c r="A364" s="62" t="inlineStr">
        <is>
          <t>P</t>
        </is>
      </c>
      <c r="B364" s="60">
        <f>IF(D364&gt;1/1/2001,B363+1," ")</f>
        <v/>
      </c>
      <c r="C364" s="59">
        <f>IF(B364&lt;&gt;" ",CONCATENATE(A364,B364)," ")</f>
        <v/>
      </c>
      <c r="D364" s="69" t="n"/>
      <c r="E364" s="72" t="n"/>
      <c r="F364" s="72" t="n"/>
      <c r="G364" s="72" t="n"/>
      <c r="H364" s="72" t="n"/>
      <c r="I364" s="72" t="n"/>
      <c r="J364" s="71" t="n"/>
      <c r="K364" s="73" t="n"/>
    </row>
    <row r="365">
      <c r="A365" s="62" t="inlineStr">
        <is>
          <t>P</t>
        </is>
      </c>
      <c r="B365" s="60">
        <f>IF(D365&gt;1/1/2001,B364+1," ")</f>
        <v/>
      </c>
      <c r="C365" s="59">
        <f>IF(B365&lt;&gt;" ",CONCATENATE(A365,B365)," ")</f>
        <v/>
      </c>
      <c r="D365" s="69" t="n"/>
      <c r="E365" s="72" t="n"/>
      <c r="F365" s="72" t="n"/>
      <c r="G365" s="72" t="n"/>
      <c r="H365" s="72" t="n"/>
      <c r="I365" s="72" t="n"/>
      <c r="J365" s="71" t="n"/>
      <c r="K365" s="73" t="n"/>
    </row>
    <row r="366">
      <c r="A366" s="62" t="inlineStr">
        <is>
          <t>P</t>
        </is>
      </c>
      <c r="B366" s="60">
        <f>IF(D366&gt;1/1/2001,B365+1," ")</f>
        <v/>
      </c>
      <c r="C366" s="59">
        <f>IF(B366&lt;&gt;" ",CONCATENATE(A366,B366)," ")</f>
        <v/>
      </c>
      <c r="D366" s="69" t="n"/>
      <c r="E366" s="72" t="n"/>
      <c r="F366" s="72" t="n"/>
      <c r="G366" s="72" t="n"/>
      <c r="H366" s="72" t="n"/>
      <c r="I366" s="72" t="n"/>
      <c r="J366" s="71" t="n"/>
      <c r="K366" s="73" t="n"/>
    </row>
    <row r="367">
      <c r="A367" s="62" t="inlineStr">
        <is>
          <t>P</t>
        </is>
      </c>
      <c r="B367" s="60">
        <f>IF(D367&gt;1/1/2001,B366+1," ")</f>
        <v/>
      </c>
      <c r="C367" s="59">
        <f>IF(B367&lt;&gt;" ",CONCATENATE(A367,B367)," ")</f>
        <v/>
      </c>
      <c r="D367" s="69" t="n"/>
      <c r="E367" s="72" t="n"/>
      <c r="F367" s="72" t="n"/>
      <c r="G367" s="72" t="n"/>
      <c r="H367" s="72" t="n"/>
      <c r="I367" s="72" t="n"/>
      <c r="J367" s="71" t="n"/>
      <c r="K367" s="73" t="n"/>
    </row>
    <row r="368">
      <c r="A368" s="62" t="inlineStr">
        <is>
          <t>P</t>
        </is>
      </c>
      <c r="B368" s="60">
        <f>IF(D368&gt;1/1/2001,B367+1," ")</f>
        <v/>
      </c>
      <c r="C368" s="59">
        <f>IF(B368&lt;&gt;" ",CONCATENATE(A368,B368)," ")</f>
        <v/>
      </c>
      <c r="D368" s="69" t="n"/>
      <c r="E368" s="72" t="n"/>
      <c r="F368" s="72" t="n"/>
      <c r="G368" s="72" t="n"/>
      <c r="H368" s="72" t="n"/>
      <c r="I368" s="72" t="n"/>
      <c r="J368" s="71" t="n"/>
      <c r="K368" s="73" t="n"/>
    </row>
    <row r="369">
      <c r="A369" s="62" t="inlineStr">
        <is>
          <t>P</t>
        </is>
      </c>
      <c r="B369" s="60">
        <f>IF(D369&gt;1/1/2001,B368+1," ")</f>
        <v/>
      </c>
      <c r="C369" s="59">
        <f>IF(B369&lt;&gt;" ",CONCATENATE(A369,B369)," ")</f>
        <v/>
      </c>
      <c r="D369" s="69" t="n"/>
      <c r="E369" s="72" t="n"/>
      <c r="F369" s="72" t="n"/>
      <c r="G369" s="72" t="n"/>
      <c r="H369" s="72" t="n"/>
      <c r="I369" s="72" t="n"/>
      <c r="J369" s="71" t="n"/>
      <c r="K369" s="73" t="n"/>
    </row>
    <row r="370">
      <c r="A370" s="62" t="inlineStr">
        <is>
          <t>P</t>
        </is>
      </c>
      <c r="B370" s="60">
        <f>IF(D370&gt;1/1/2001,B369+1," ")</f>
        <v/>
      </c>
      <c r="C370" s="59">
        <f>IF(B370&lt;&gt;" ",CONCATENATE(A370,B370)," ")</f>
        <v/>
      </c>
      <c r="D370" s="69" t="n"/>
      <c r="E370" s="72" t="n"/>
      <c r="F370" s="72" t="n"/>
      <c r="G370" s="72" t="n"/>
      <c r="H370" s="72" t="n"/>
      <c r="I370" s="72" t="n"/>
      <c r="J370" s="71" t="n"/>
      <c r="K370" s="73" t="n"/>
    </row>
    <row r="371">
      <c r="A371" s="62" t="inlineStr">
        <is>
          <t>P</t>
        </is>
      </c>
      <c r="B371" s="60">
        <f>IF(D371&gt;1/1/2001,B370+1," ")</f>
        <v/>
      </c>
      <c r="C371" s="59">
        <f>IF(B371&lt;&gt;" ",CONCATENATE(A371,B371)," ")</f>
        <v/>
      </c>
      <c r="D371" s="69" t="n"/>
      <c r="E371" s="72" t="n"/>
      <c r="F371" s="72" t="n"/>
      <c r="G371" s="72" t="n"/>
      <c r="H371" s="72" t="n"/>
      <c r="I371" s="72" t="n"/>
      <c r="J371" s="71" t="n"/>
      <c r="K371" s="73" t="n"/>
    </row>
    <row r="372">
      <c r="A372" s="62" t="inlineStr">
        <is>
          <t>P</t>
        </is>
      </c>
      <c r="B372" s="60">
        <f>IF(D372&gt;1/1/2001,B371+1," ")</f>
        <v/>
      </c>
      <c r="C372" s="59">
        <f>IF(B372&lt;&gt;" ",CONCATENATE(A372,B372)," ")</f>
        <v/>
      </c>
      <c r="D372" s="69" t="n"/>
      <c r="E372" s="72" t="n"/>
      <c r="F372" s="72" t="n"/>
      <c r="G372" s="72" t="n"/>
      <c r="H372" s="72" t="n"/>
      <c r="I372" s="72" t="n"/>
      <c r="J372" s="71" t="n"/>
      <c r="K372" s="73" t="n"/>
    </row>
    <row r="373">
      <c r="A373" s="62" t="inlineStr">
        <is>
          <t>P</t>
        </is>
      </c>
      <c r="B373" s="60">
        <f>IF(D373&gt;1/1/2001,B372+1," ")</f>
        <v/>
      </c>
      <c r="C373" s="59">
        <f>IF(B373&lt;&gt;" ",CONCATENATE(A373,B373)," ")</f>
        <v/>
      </c>
      <c r="D373" s="69" t="n"/>
      <c r="E373" s="72" t="n"/>
      <c r="F373" s="72" t="n"/>
      <c r="G373" s="72" t="n"/>
      <c r="H373" s="72" t="n"/>
      <c r="I373" s="72" t="n"/>
      <c r="J373" s="71" t="n"/>
      <c r="K373" s="73" t="n"/>
    </row>
    <row r="374">
      <c r="A374" s="62" t="inlineStr">
        <is>
          <t>P</t>
        </is>
      </c>
      <c r="B374" s="60">
        <f>IF(D374&gt;1/1/2001,B373+1," ")</f>
        <v/>
      </c>
      <c r="C374" s="59">
        <f>IF(B374&lt;&gt;" ",CONCATENATE(A374,B374)," ")</f>
        <v/>
      </c>
      <c r="D374" s="69" t="n"/>
      <c r="E374" s="72" t="n"/>
      <c r="F374" s="72" t="n"/>
      <c r="G374" s="72" t="n"/>
      <c r="H374" s="72" t="n"/>
      <c r="I374" s="72" t="n"/>
      <c r="J374" s="71" t="n"/>
      <c r="K374" s="73" t="n"/>
    </row>
    <row r="375">
      <c r="A375" s="62" t="inlineStr">
        <is>
          <t>P</t>
        </is>
      </c>
      <c r="B375" s="60">
        <f>IF(D375&gt;1/1/2001,B374+1," ")</f>
        <v/>
      </c>
      <c r="C375" s="59">
        <f>IF(B375&lt;&gt;" ",CONCATENATE(A375,B375)," ")</f>
        <v/>
      </c>
      <c r="D375" s="69" t="n"/>
      <c r="E375" s="72" t="n"/>
      <c r="F375" s="72" t="n"/>
      <c r="G375" s="72" t="n"/>
      <c r="H375" s="72" t="n"/>
      <c r="I375" s="72" t="n"/>
      <c r="J375" s="71" t="n"/>
      <c r="K375" s="73" t="n"/>
    </row>
    <row r="376">
      <c r="A376" s="62" t="inlineStr">
        <is>
          <t>P</t>
        </is>
      </c>
      <c r="B376" s="60">
        <f>IF(D376&gt;1/1/2001,B375+1," ")</f>
        <v/>
      </c>
      <c r="C376" s="59">
        <f>IF(B376&lt;&gt;" ",CONCATENATE(A376,B376)," ")</f>
        <v/>
      </c>
      <c r="D376" s="69" t="n"/>
      <c r="E376" s="72" t="n"/>
      <c r="F376" s="72" t="n"/>
      <c r="G376" s="72" t="n"/>
      <c r="H376" s="72" t="n"/>
      <c r="I376" s="72" t="n"/>
      <c r="J376" s="71" t="n"/>
      <c r="K376" s="73" t="n"/>
    </row>
    <row r="377">
      <c r="A377" s="62" t="inlineStr">
        <is>
          <t>P</t>
        </is>
      </c>
      <c r="B377" s="60">
        <f>IF(D377&gt;1/1/2001,B376+1," ")</f>
        <v/>
      </c>
      <c r="C377" s="59">
        <f>IF(B377&lt;&gt;" ",CONCATENATE(A377,B377)," ")</f>
        <v/>
      </c>
      <c r="D377" s="69" t="n"/>
      <c r="E377" s="72" t="n"/>
      <c r="F377" s="72" t="n"/>
      <c r="G377" s="72" t="n"/>
      <c r="H377" s="72" t="n"/>
      <c r="I377" s="72" t="n"/>
      <c r="J377" s="71" t="n"/>
      <c r="K377" s="73" t="n"/>
    </row>
    <row r="378">
      <c r="A378" s="62" t="inlineStr">
        <is>
          <t>P</t>
        </is>
      </c>
      <c r="B378" s="60">
        <f>IF(D378&gt;1/1/2001,B377+1," ")</f>
        <v/>
      </c>
      <c r="C378" s="59">
        <f>IF(B378&lt;&gt;" ",CONCATENATE(A378,B378)," ")</f>
        <v/>
      </c>
      <c r="D378" s="69" t="n"/>
      <c r="E378" s="72" t="n"/>
      <c r="F378" s="72" t="n"/>
      <c r="G378" s="72" t="n"/>
      <c r="H378" s="72" t="n"/>
      <c r="I378" s="72" t="n"/>
      <c r="J378" s="71" t="n"/>
      <c r="K378" s="73" t="n"/>
    </row>
    <row r="379">
      <c r="A379" s="62" t="inlineStr">
        <is>
          <t>P</t>
        </is>
      </c>
      <c r="B379" s="60">
        <f>IF(D379&gt;1/1/2001,B378+1," ")</f>
        <v/>
      </c>
      <c r="C379" s="59">
        <f>IF(B379&lt;&gt;" ",CONCATENATE(A379,B379)," ")</f>
        <v/>
      </c>
      <c r="D379" s="69" t="n"/>
      <c r="E379" s="72" t="n"/>
      <c r="F379" s="72" t="n"/>
      <c r="G379" s="72" t="n"/>
      <c r="H379" s="72" t="n"/>
      <c r="I379" s="72" t="n"/>
      <c r="J379" s="71" t="n"/>
      <c r="K379" s="73" t="n"/>
    </row>
    <row r="380">
      <c r="A380" s="62" t="inlineStr">
        <is>
          <t>P</t>
        </is>
      </c>
      <c r="B380" s="60">
        <f>IF(D380&gt;1/1/2001,B379+1," ")</f>
        <v/>
      </c>
      <c r="C380" s="59">
        <f>IF(B380&lt;&gt;" ",CONCATENATE(A380,B380)," ")</f>
        <v/>
      </c>
      <c r="D380" s="69" t="n"/>
      <c r="E380" s="72" t="n"/>
      <c r="F380" s="72" t="n"/>
      <c r="G380" s="72" t="n"/>
      <c r="H380" s="72" t="n"/>
      <c r="I380" s="72" t="n"/>
      <c r="J380" s="71" t="n"/>
      <c r="K380" s="73" t="n"/>
    </row>
    <row r="381">
      <c r="A381" s="62" t="inlineStr">
        <is>
          <t>P</t>
        </is>
      </c>
      <c r="B381" s="60">
        <f>IF(D381&gt;1/1/2001,B380+1," ")</f>
        <v/>
      </c>
      <c r="C381" s="59">
        <f>IF(B381&lt;&gt;" ",CONCATENATE(A381,B381)," ")</f>
        <v/>
      </c>
      <c r="D381" s="69" t="n"/>
      <c r="E381" s="72" t="n"/>
      <c r="F381" s="72" t="n"/>
      <c r="G381" s="72" t="n"/>
      <c r="H381" s="72" t="n"/>
      <c r="I381" s="72" t="n"/>
      <c r="J381" s="71" t="n"/>
      <c r="K381" s="73" t="n"/>
    </row>
    <row r="382">
      <c r="A382" s="62" t="inlineStr">
        <is>
          <t>P</t>
        </is>
      </c>
      <c r="B382" s="60">
        <f>IF(D382&gt;1/1/2001,B381+1," ")</f>
        <v/>
      </c>
      <c r="C382" s="59">
        <f>IF(B382&lt;&gt;" ",CONCATENATE(A382,B382)," ")</f>
        <v/>
      </c>
      <c r="D382" s="69" t="n"/>
      <c r="E382" s="72" t="n"/>
      <c r="F382" s="72" t="n"/>
      <c r="G382" s="72" t="n"/>
      <c r="H382" s="72" t="n"/>
      <c r="I382" s="72" t="n"/>
      <c r="J382" s="71" t="n"/>
      <c r="K382" s="73" t="n"/>
    </row>
    <row r="383">
      <c r="A383" s="62" t="inlineStr">
        <is>
          <t>P</t>
        </is>
      </c>
      <c r="B383" s="60">
        <f>IF(D383&gt;1/1/2001,B382+1," ")</f>
        <v/>
      </c>
      <c r="C383" s="59">
        <f>IF(B383&lt;&gt;" ",CONCATENATE(A383,B383)," ")</f>
        <v/>
      </c>
      <c r="D383" s="69" t="n"/>
      <c r="E383" s="72" t="n"/>
      <c r="F383" s="72" t="n"/>
      <c r="G383" s="72" t="n"/>
      <c r="H383" s="72" t="n"/>
      <c r="I383" s="72" t="n"/>
      <c r="J383" s="71" t="n"/>
      <c r="K383" s="73" t="n"/>
    </row>
    <row r="384">
      <c r="A384" s="62" t="inlineStr">
        <is>
          <t>P</t>
        </is>
      </c>
      <c r="B384" s="60">
        <f>IF(D384&gt;1/1/2001,B383+1," ")</f>
        <v/>
      </c>
      <c r="C384" s="59">
        <f>IF(B384&lt;&gt;" ",CONCATENATE(A384,B384)," ")</f>
        <v/>
      </c>
      <c r="D384" s="69" t="n"/>
      <c r="E384" s="72" t="n"/>
      <c r="F384" s="72" t="n"/>
      <c r="G384" s="72" t="n"/>
      <c r="H384" s="72" t="n"/>
      <c r="I384" s="72" t="n"/>
      <c r="J384" s="71" t="n"/>
      <c r="K384" s="73" t="n"/>
    </row>
    <row r="385">
      <c r="A385" s="62" t="inlineStr">
        <is>
          <t>P</t>
        </is>
      </c>
      <c r="B385" s="60">
        <f>IF(D385&gt;1/1/2001,B384+1," ")</f>
        <v/>
      </c>
      <c r="C385" s="59">
        <f>IF(B385&lt;&gt;" ",CONCATENATE(A385,B385)," ")</f>
        <v/>
      </c>
      <c r="D385" s="69" t="n"/>
      <c r="E385" s="72" t="n"/>
      <c r="F385" s="72" t="n"/>
      <c r="G385" s="72" t="n"/>
      <c r="H385" s="72" t="n"/>
      <c r="I385" s="72" t="n"/>
      <c r="J385" s="71" t="n"/>
      <c r="K385" s="73" t="n"/>
    </row>
    <row r="386">
      <c r="A386" s="62" t="inlineStr">
        <is>
          <t>P</t>
        </is>
      </c>
      <c r="B386" s="60">
        <f>IF(D386&gt;1/1/2001,B385+1," ")</f>
        <v/>
      </c>
      <c r="C386" s="59">
        <f>IF(B386&lt;&gt;" ",CONCATENATE(A386,B386)," ")</f>
        <v/>
      </c>
      <c r="D386" s="69" t="n"/>
      <c r="E386" s="72" t="n"/>
      <c r="F386" s="72" t="n"/>
      <c r="G386" s="72" t="n"/>
      <c r="H386" s="72" t="n"/>
      <c r="I386" s="72" t="n"/>
      <c r="J386" s="71" t="n"/>
      <c r="K386" s="73" t="n"/>
    </row>
    <row r="387">
      <c r="A387" s="62" t="inlineStr">
        <is>
          <t>P</t>
        </is>
      </c>
      <c r="B387" s="60">
        <f>IF(D387&gt;1/1/2001,B386+1," ")</f>
        <v/>
      </c>
      <c r="C387" s="59">
        <f>IF(B387&lt;&gt;" ",CONCATENATE(A387,B387)," ")</f>
        <v/>
      </c>
      <c r="D387" s="69" t="n"/>
      <c r="E387" s="72" t="n"/>
      <c r="F387" s="72" t="n"/>
      <c r="G387" s="72" t="n"/>
      <c r="H387" s="72" t="n"/>
      <c r="I387" s="72" t="n"/>
      <c r="J387" s="71" t="n"/>
      <c r="K387" s="73" t="n"/>
    </row>
    <row r="388">
      <c r="A388" s="62" t="inlineStr">
        <is>
          <t>P</t>
        </is>
      </c>
      <c r="B388" s="60">
        <f>IF(D388&gt;1/1/2001,B387+1," ")</f>
        <v/>
      </c>
      <c r="C388" s="59">
        <f>IF(B388&lt;&gt;" ",CONCATENATE(A388,B388)," ")</f>
        <v/>
      </c>
      <c r="D388" s="69" t="n"/>
      <c r="E388" s="72" t="n"/>
      <c r="F388" s="72" t="n"/>
      <c r="G388" s="72" t="n"/>
      <c r="H388" s="72" t="n"/>
      <c r="I388" s="72" t="n"/>
      <c r="J388" s="71" t="n"/>
      <c r="K388" s="73" t="n"/>
    </row>
    <row r="389">
      <c r="A389" s="62" t="inlineStr">
        <is>
          <t>P</t>
        </is>
      </c>
      <c r="B389" s="60">
        <f>IF(D389&gt;1/1/2001,B388+1," ")</f>
        <v/>
      </c>
      <c r="C389" s="59">
        <f>IF(B389&lt;&gt;" ",CONCATENATE(A389,B389)," ")</f>
        <v/>
      </c>
      <c r="D389" s="69" t="n"/>
      <c r="E389" s="72" t="n"/>
      <c r="F389" s="72" t="n"/>
      <c r="G389" s="72" t="n"/>
      <c r="H389" s="72" t="n"/>
      <c r="I389" s="72" t="n"/>
      <c r="J389" s="71" t="n"/>
      <c r="K389" s="73" t="n"/>
    </row>
    <row r="390">
      <c r="A390" s="62" t="inlineStr">
        <is>
          <t>P</t>
        </is>
      </c>
      <c r="B390" s="60">
        <f>IF(D390&gt;1/1/2001,B389+1," ")</f>
        <v/>
      </c>
      <c r="C390" s="59">
        <f>IF(B390&lt;&gt;" ",CONCATENATE(A390,B390)," ")</f>
        <v/>
      </c>
      <c r="D390" s="69" t="n"/>
      <c r="E390" s="72" t="n"/>
      <c r="F390" s="72" t="n"/>
      <c r="G390" s="72" t="n"/>
      <c r="H390" s="72" t="n"/>
      <c r="I390" s="72" t="n"/>
      <c r="J390" s="71" t="n"/>
      <c r="K390" s="73" t="n"/>
    </row>
    <row r="391">
      <c r="A391" s="62" t="inlineStr">
        <is>
          <t>P</t>
        </is>
      </c>
      <c r="B391" s="60">
        <f>IF(D391&gt;1/1/2001,B390+1," ")</f>
        <v/>
      </c>
      <c r="C391" s="59">
        <f>IF(B391&lt;&gt;" ",CONCATENATE(A391,B391)," ")</f>
        <v/>
      </c>
      <c r="D391" s="69" t="n"/>
      <c r="E391" s="72" t="n"/>
      <c r="F391" s="72" t="n"/>
      <c r="G391" s="72" t="n"/>
      <c r="H391" s="72" t="n"/>
      <c r="I391" s="72" t="n"/>
      <c r="J391" s="71" t="n"/>
      <c r="K391" s="73" t="n"/>
    </row>
    <row r="392">
      <c r="A392" s="62" t="inlineStr">
        <is>
          <t>P</t>
        </is>
      </c>
      <c r="B392" s="60">
        <f>IF(D392&gt;1/1/2001,B391+1," ")</f>
        <v/>
      </c>
      <c r="C392" s="59">
        <f>IF(B392&lt;&gt;" ",CONCATENATE(A392,B392)," ")</f>
        <v/>
      </c>
      <c r="D392" s="69" t="n"/>
      <c r="E392" s="72" t="n"/>
      <c r="F392" s="72" t="n"/>
      <c r="G392" s="72" t="n"/>
      <c r="H392" s="72" t="n"/>
      <c r="I392" s="72" t="n"/>
      <c r="J392" s="71" t="n"/>
      <c r="K392" s="73" t="n"/>
    </row>
    <row r="393">
      <c r="A393" s="62" t="inlineStr">
        <is>
          <t>P</t>
        </is>
      </c>
      <c r="B393" s="60">
        <f>IF(D393&gt;1/1/2001,B392+1," ")</f>
        <v/>
      </c>
      <c r="C393" s="59">
        <f>IF(B393&lt;&gt;" ",CONCATENATE(A393,B393)," ")</f>
        <v/>
      </c>
      <c r="D393" s="69" t="n"/>
      <c r="E393" s="72" t="n"/>
      <c r="F393" s="72" t="n"/>
      <c r="G393" s="72" t="n"/>
      <c r="H393" s="72" t="n"/>
      <c r="I393" s="72" t="n"/>
      <c r="J393" s="71" t="n"/>
      <c r="K393" s="73" t="n"/>
    </row>
    <row r="394">
      <c r="A394" s="62" t="inlineStr">
        <is>
          <t>P</t>
        </is>
      </c>
      <c r="B394" s="60">
        <f>IF(D394&gt;1/1/2001,B393+1," ")</f>
        <v/>
      </c>
      <c r="C394" s="59">
        <f>IF(B394&lt;&gt;" ",CONCATENATE(A394,B394)," ")</f>
        <v/>
      </c>
      <c r="D394" s="69" t="n"/>
      <c r="E394" s="72" t="n"/>
      <c r="F394" s="72" t="n"/>
      <c r="G394" s="72" t="n"/>
      <c r="H394" s="72" t="n"/>
      <c r="I394" s="72" t="n"/>
      <c r="J394" s="71" t="n"/>
      <c r="K394" s="73" t="n"/>
    </row>
    <row r="395">
      <c r="A395" s="62" t="inlineStr">
        <is>
          <t>P</t>
        </is>
      </c>
      <c r="B395" s="60">
        <f>IF(D395&gt;1/1/2001,B394+1," ")</f>
        <v/>
      </c>
      <c r="C395" s="59">
        <f>IF(B395&lt;&gt;" ",CONCATENATE(A395,B395)," ")</f>
        <v/>
      </c>
      <c r="D395" s="69" t="n"/>
      <c r="E395" s="72" t="n"/>
      <c r="F395" s="72" t="n"/>
      <c r="G395" s="72" t="n"/>
      <c r="H395" s="72" t="n"/>
      <c r="I395" s="72" t="n"/>
      <c r="J395" s="71" t="n"/>
      <c r="K395" s="73" t="n"/>
    </row>
    <row r="396">
      <c r="A396" s="62" t="inlineStr">
        <is>
          <t>P</t>
        </is>
      </c>
      <c r="B396" s="60">
        <f>IF(D396&gt;1/1/2001,B395+1," ")</f>
        <v/>
      </c>
      <c r="C396" s="59">
        <f>IF(B396&lt;&gt;" ",CONCATENATE(A396,B396)," ")</f>
        <v/>
      </c>
      <c r="D396" s="69" t="n"/>
      <c r="E396" s="72" t="n"/>
      <c r="F396" s="72" t="n"/>
      <c r="G396" s="72" t="n"/>
      <c r="H396" s="72" t="n"/>
      <c r="I396" s="72" t="n"/>
      <c r="J396" s="71" t="n"/>
      <c r="K396" s="73" t="n"/>
    </row>
    <row r="397">
      <c r="A397" s="62" t="inlineStr">
        <is>
          <t>P</t>
        </is>
      </c>
      <c r="B397" s="60">
        <f>IF(D397&gt;1/1/2001,B396+1," ")</f>
        <v/>
      </c>
      <c r="C397" s="59">
        <f>IF(B397&lt;&gt;" ",CONCATENATE(A397,B397)," ")</f>
        <v/>
      </c>
      <c r="D397" s="69" t="n"/>
      <c r="E397" s="72" t="n"/>
      <c r="F397" s="72" t="n"/>
      <c r="G397" s="72" t="n"/>
      <c r="H397" s="72" t="n"/>
      <c r="I397" s="72" t="n"/>
      <c r="J397" s="71" t="n"/>
      <c r="K397" s="73" t="n"/>
    </row>
    <row r="398">
      <c r="A398" s="62" t="inlineStr">
        <is>
          <t>P</t>
        </is>
      </c>
      <c r="B398" s="60">
        <f>IF(D398&gt;1/1/2001,B397+1," ")</f>
        <v/>
      </c>
      <c r="C398" s="59">
        <f>IF(B398&lt;&gt;" ",CONCATENATE(A398,B398)," ")</f>
        <v/>
      </c>
      <c r="D398" s="69" t="n"/>
      <c r="E398" s="72" t="n"/>
      <c r="F398" s="72" t="n"/>
      <c r="G398" s="72" t="n"/>
      <c r="H398" s="72" t="n"/>
      <c r="I398" s="72" t="n"/>
      <c r="J398" s="71" t="n"/>
      <c r="K398" s="73" t="n"/>
    </row>
    <row r="399">
      <c r="A399" s="62" t="inlineStr">
        <is>
          <t>P</t>
        </is>
      </c>
      <c r="B399" s="60">
        <f>IF(D399&gt;1/1/2001,B398+1," ")</f>
        <v/>
      </c>
      <c r="C399" s="59">
        <f>IF(B399&lt;&gt;" ",CONCATENATE(A399,B399)," ")</f>
        <v/>
      </c>
      <c r="D399" s="69" t="n"/>
      <c r="E399" s="72" t="n"/>
      <c r="F399" s="72" t="n"/>
      <c r="G399" s="72" t="n"/>
      <c r="H399" s="72" t="n"/>
      <c r="I399" s="72" t="n"/>
      <c r="J399" s="71" t="n"/>
      <c r="K399" s="73" t="n"/>
    </row>
    <row r="400">
      <c r="A400" s="62" t="inlineStr">
        <is>
          <t>P</t>
        </is>
      </c>
      <c r="B400" s="60">
        <f>IF(D400&gt;1/1/2001,B399+1," ")</f>
        <v/>
      </c>
      <c r="C400" s="59">
        <f>IF(B400&lt;&gt;" ",CONCATENATE(A400,B400)," ")</f>
        <v/>
      </c>
      <c r="D400" s="69" t="n"/>
      <c r="E400" s="72" t="n"/>
      <c r="F400" s="72" t="n"/>
      <c r="G400" s="72" t="n"/>
      <c r="H400" s="72" t="n"/>
      <c r="I400" s="72" t="n"/>
      <c r="J400" s="71" t="n"/>
      <c r="K400" s="73" t="n"/>
    </row>
    <row r="401">
      <c r="A401" s="62" t="inlineStr">
        <is>
          <t>P</t>
        </is>
      </c>
      <c r="B401" s="60">
        <f>IF(D401&gt;1/1/2001,B400+1," ")</f>
        <v/>
      </c>
      <c r="C401" s="59">
        <f>IF(B401&lt;&gt;" ",CONCATENATE(A401,B401)," ")</f>
        <v/>
      </c>
      <c r="D401" s="69" t="n"/>
      <c r="E401" s="72" t="n"/>
      <c r="F401" s="72" t="n"/>
      <c r="G401" s="72" t="n"/>
      <c r="H401" s="72" t="n"/>
      <c r="I401" s="72" t="n"/>
      <c r="J401" s="71" t="n"/>
      <c r="K401" s="73" t="n"/>
    </row>
    <row r="402">
      <c r="A402" s="62" t="inlineStr">
        <is>
          <t>P</t>
        </is>
      </c>
      <c r="B402" s="60">
        <f>IF(D402&gt;1/1/2001,B401+1," ")</f>
        <v/>
      </c>
      <c r="C402" s="59">
        <f>IF(B402&lt;&gt;" ",CONCATENATE(A402,B402)," ")</f>
        <v/>
      </c>
      <c r="D402" s="69" t="n"/>
      <c r="E402" s="72" t="n"/>
      <c r="F402" s="72" t="n"/>
      <c r="G402" s="72" t="n"/>
      <c r="H402" s="72" t="n"/>
      <c r="I402" s="72" t="n"/>
      <c r="J402" s="71" t="n"/>
      <c r="K402" s="73" t="n"/>
    </row>
    <row r="403">
      <c r="A403" s="62" t="inlineStr">
        <is>
          <t>P</t>
        </is>
      </c>
      <c r="B403" s="60">
        <f>IF(D403&gt;1/1/2001,B402+1," ")</f>
        <v/>
      </c>
      <c r="C403" s="59">
        <f>IF(B403&lt;&gt;" ",CONCATENATE(A403,B403)," ")</f>
        <v/>
      </c>
      <c r="D403" s="69" t="n"/>
      <c r="E403" s="72" t="n"/>
      <c r="F403" s="72" t="n"/>
      <c r="G403" s="72" t="n"/>
      <c r="H403" s="72" t="n"/>
      <c r="I403" s="72" t="n"/>
      <c r="J403" s="71" t="n"/>
      <c r="K403" s="73" t="n"/>
    </row>
    <row r="404">
      <c r="A404" s="62" t="inlineStr">
        <is>
          <t>P</t>
        </is>
      </c>
      <c r="B404" s="60">
        <f>IF(D404&gt;1/1/2001,B403+1," ")</f>
        <v/>
      </c>
      <c r="C404" s="59">
        <f>IF(B404&lt;&gt;" ",CONCATENATE(A404,B404)," ")</f>
        <v/>
      </c>
      <c r="D404" s="69" t="n"/>
      <c r="E404" s="72" t="n"/>
      <c r="F404" s="72" t="n"/>
      <c r="G404" s="72" t="n"/>
      <c r="H404" s="72" t="n"/>
      <c r="I404" s="72" t="n"/>
      <c r="J404" s="71" t="n"/>
      <c r="K404" s="73" t="n"/>
    </row>
    <row r="405">
      <c r="A405" s="62" t="inlineStr">
        <is>
          <t>P</t>
        </is>
      </c>
      <c r="B405" s="60">
        <f>IF(D405&gt;1/1/2001,B404+1," ")</f>
        <v/>
      </c>
      <c r="C405" s="59">
        <f>IF(B405&lt;&gt;" ",CONCATENATE(A405,B405)," ")</f>
        <v/>
      </c>
      <c r="D405" s="69" t="n"/>
      <c r="E405" s="72" t="n"/>
      <c r="F405" s="72" t="n"/>
      <c r="G405" s="72" t="n"/>
      <c r="H405" s="72" t="n"/>
      <c r="I405" s="72" t="n"/>
      <c r="J405" s="71" t="n"/>
      <c r="K405" s="73" t="n"/>
    </row>
    <row r="406">
      <c r="A406" s="62" t="inlineStr">
        <is>
          <t>P</t>
        </is>
      </c>
      <c r="B406" s="60">
        <f>IF(D406&gt;1/1/2001,B405+1," ")</f>
        <v/>
      </c>
      <c r="C406" s="59">
        <f>IF(B406&lt;&gt;" ",CONCATENATE(A406,B406)," ")</f>
        <v/>
      </c>
      <c r="D406" s="69" t="n"/>
      <c r="E406" s="72" t="n"/>
      <c r="F406" s="72" t="n"/>
      <c r="G406" s="72" t="n"/>
      <c r="H406" s="72" t="n"/>
      <c r="I406" s="72" t="n"/>
      <c r="J406" s="71" t="n"/>
      <c r="K406" s="73" t="n"/>
    </row>
    <row r="407">
      <c r="A407" s="62" t="inlineStr">
        <is>
          <t>P</t>
        </is>
      </c>
      <c r="B407" s="60">
        <f>IF(D407&gt;1/1/2001,B406+1," ")</f>
        <v/>
      </c>
      <c r="C407" s="59">
        <f>IF(B407&lt;&gt;" ",CONCATENATE(A407,B407)," ")</f>
        <v/>
      </c>
      <c r="D407" s="69" t="n"/>
      <c r="E407" s="72" t="n"/>
      <c r="F407" s="72" t="n"/>
      <c r="G407" s="72" t="n"/>
      <c r="H407" s="72" t="n"/>
      <c r="I407" s="72" t="n"/>
      <c r="J407" s="71" t="n"/>
      <c r="K407" s="73" t="n"/>
    </row>
    <row r="408">
      <c r="A408" s="62" t="inlineStr">
        <is>
          <t>P</t>
        </is>
      </c>
      <c r="B408" s="60">
        <f>IF(D408&gt;1/1/2001,B407+1," ")</f>
        <v/>
      </c>
      <c r="C408" s="59">
        <f>IF(B408&lt;&gt;" ",CONCATENATE(A408,B408)," ")</f>
        <v/>
      </c>
      <c r="D408" s="69" t="n"/>
      <c r="E408" s="72" t="n"/>
      <c r="F408" s="72" t="n"/>
      <c r="G408" s="72" t="n"/>
      <c r="H408" s="72" t="n"/>
      <c r="I408" s="72" t="n"/>
      <c r="J408" s="71" t="n"/>
      <c r="K408" s="73" t="n"/>
    </row>
    <row r="409">
      <c r="A409" s="62" t="inlineStr">
        <is>
          <t>P</t>
        </is>
      </c>
      <c r="B409" s="60">
        <f>IF(D409&gt;1/1/2001,B408+1," ")</f>
        <v/>
      </c>
      <c r="C409" s="59">
        <f>IF(B409&lt;&gt;" ",CONCATENATE(A409,B409)," ")</f>
        <v/>
      </c>
      <c r="D409" s="69" t="n"/>
      <c r="E409" s="72" t="n"/>
      <c r="F409" s="72" t="n"/>
      <c r="G409" s="72" t="n"/>
      <c r="H409" s="72" t="n"/>
      <c r="I409" s="72" t="n"/>
      <c r="J409" s="71" t="n"/>
      <c r="K409" s="73" t="n"/>
    </row>
    <row r="410">
      <c r="A410" s="62" t="inlineStr">
        <is>
          <t>P</t>
        </is>
      </c>
      <c r="B410" s="60">
        <f>IF(D410&gt;1/1/2001,B409+1," ")</f>
        <v/>
      </c>
      <c r="C410" s="59">
        <f>IF(B410&lt;&gt;" ",CONCATENATE(A410,B410)," ")</f>
        <v/>
      </c>
      <c r="D410" s="69" t="n"/>
      <c r="E410" s="72" t="n"/>
      <c r="F410" s="72" t="n"/>
      <c r="G410" s="72" t="n"/>
      <c r="H410" s="72" t="n"/>
      <c r="I410" s="72" t="n"/>
      <c r="J410" s="71" t="n"/>
      <c r="K410" s="73" t="n"/>
    </row>
    <row r="411">
      <c r="A411" s="62" t="inlineStr">
        <is>
          <t>P</t>
        </is>
      </c>
      <c r="B411" s="60">
        <f>IF(D411&gt;1/1/2001,B410+1," ")</f>
        <v/>
      </c>
      <c r="C411" s="59">
        <f>IF(B411&lt;&gt;" ",CONCATENATE(A411,B411)," ")</f>
        <v/>
      </c>
      <c r="D411" s="69" t="n"/>
      <c r="E411" s="72" t="n"/>
      <c r="F411" s="72" t="n"/>
      <c r="G411" s="72" t="n"/>
      <c r="H411" s="72" t="n"/>
      <c r="I411" s="72" t="n"/>
      <c r="J411" s="71" t="n"/>
      <c r="K411" s="73" t="n"/>
    </row>
    <row r="412">
      <c r="A412" s="62" t="inlineStr">
        <is>
          <t>P</t>
        </is>
      </c>
      <c r="B412" s="60">
        <f>IF(D412&gt;1/1/2001,B411+1," ")</f>
        <v/>
      </c>
      <c r="C412" s="59">
        <f>IF(B412&lt;&gt;" ",CONCATENATE(A412,B412)," ")</f>
        <v/>
      </c>
      <c r="D412" s="69" t="n"/>
      <c r="E412" s="72" t="n"/>
      <c r="F412" s="72" t="n"/>
      <c r="G412" s="72" t="n"/>
      <c r="H412" s="72" t="n"/>
      <c r="I412" s="72" t="n"/>
      <c r="J412" s="71" t="n"/>
      <c r="K412" s="73" t="n"/>
    </row>
    <row r="413">
      <c r="A413" s="62" t="inlineStr">
        <is>
          <t>P</t>
        </is>
      </c>
      <c r="B413" s="60">
        <f>IF(D413&gt;1/1/2001,B412+1," ")</f>
        <v/>
      </c>
      <c r="C413" s="59">
        <f>IF(B413&lt;&gt;" ",CONCATENATE(A413,B413)," ")</f>
        <v/>
      </c>
      <c r="D413" s="69" t="n"/>
      <c r="E413" s="72" t="n"/>
      <c r="F413" s="72" t="n"/>
      <c r="G413" s="72" t="n"/>
      <c r="H413" s="72" t="n"/>
      <c r="I413" s="72" t="n"/>
      <c r="J413" s="71" t="n"/>
      <c r="K413" s="73" t="n"/>
    </row>
    <row r="414">
      <c r="A414" s="62" t="inlineStr">
        <is>
          <t>P</t>
        </is>
      </c>
      <c r="B414" s="60">
        <f>IF(D414&gt;1/1/2001,B413+1," ")</f>
        <v/>
      </c>
      <c r="C414" s="59">
        <f>IF(B414&lt;&gt;" ",CONCATENATE(A414,B414)," ")</f>
        <v/>
      </c>
      <c r="D414" s="69" t="n"/>
      <c r="E414" s="72" t="n"/>
      <c r="F414" s="72" t="n"/>
      <c r="G414" s="72" t="n"/>
      <c r="H414" s="72" t="n"/>
      <c r="I414" s="72" t="n"/>
      <c r="J414" s="71" t="n"/>
      <c r="K414" s="73" t="n"/>
    </row>
    <row r="415">
      <c r="A415" s="62" t="inlineStr">
        <is>
          <t>P</t>
        </is>
      </c>
      <c r="B415" s="60">
        <f>IF(D415&gt;1/1/2001,B414+1," ")</f>
        <v/>
      </c>
      <c r="C415" s="59">
        <f>IF(B415&lt;&gt;" ",CONCATENATE(A415,B415)," ")</f>
        <v/>
      </c>
      <c r="D415" s="69" t="n"/>
      <c r="E415" s="72" t="n"/>
      <c r="F415" s="72" t="n"/>
      <c r="G415" s="72" t="n"/>
      <c r="H415" s="72" t="n"/>
      <c r="I415" s="72" t="n"/>
      <c r="J415" s="71" t="n"/>
      <c r="K415" s="73" t="n"/>
    </row>
    <row r="416">
      <c r="A416" s="62" t="inlineStr">
        <is>
          <t>P</t>
        </is>
      </c>
      <c r="B416" s="60">
        <f>IF(D416&gt;1/1/2001,B415+1," ")</f>
        <v/>
      </c>
      <c r="C416" s="59">
        <f>IF(B416&lt;&gt;" ",CONCATENATE(A416,B416)," ")</f>
        <v/>
      </c>
      <c r="D416" s="69" t="n"/>
      <c r="E416" s="72" t="n"/>
      <c r="F416" s="72" t="n"/>
      <c r="G416" s="72" t="n"/>
      <c r="H416" s="72" t="n"/>
      <c r="I416" s="72" t="n"/>
      <c r="J416" s="71" t="n"/>
      <c r="K416" s="73" t="n"/>
    </row>
    <row r="417">
      <c r="A417" s="62" t="inlineStr">
        <is>
          <t>P</t>
        </is>
      </c>
      <c r="B417" s="60">
        <f>IF(D417&gt;1/1/2001,B416+1," ")</f>
        <v/>
      </c>
      <c r="C417" s="59">
        <f>IF(B417&lt;&gt;" ",CONCATENATE(A417,B417)," ")</f>
        <v/>
      </c>
      <c r="D417" s="69" t="n"/>
      <c r="E417" s="72" t="n"/>
      <c r="F417" s="72" t="n"/>
      <c r="G417" s="72" t="n"/>
      <c r="H417" s="72" t="n"/>
      <c r="I417" s="72" t="n"/>
      <c r="J417" s="71" t="n"/>
      <c r="K417" s="73" t="n"/>
    </row>
    <row r="418">
      <c r="A418" s="62" t="inlineStr">
        <is>
          <t>P</t>
        </is>
      </c>
      <c r="B418" s="60">
        <f>IF(D418&gt;1/1/2001,B417+1," ")</f>
        <v/>
      </c>
      <c r="C418" s="59">
        <f>IF(B418&lt;&gt;" ",CONCATENATE(A418,B418)," ")</f>
        <v/>
      </c>
      <c r="D418" s="69" t="n"/>
      <c r="E418" s="72" t="n"/>
      <c r="F418" s="72" t="n"/>
      <c r="G418" s="72" t="n"/>
      <c r="H418" s="72" t="n"/>
      <c r="I418" s="72" t="n"/>
      <c r="J418" s="71" t="n"/>
      <c r="K418" s="73" t="n"/>
    </row>
    <row r="419">
      <c r="A419" s="62" t="inlineStr">
        <is>
          <t>P</t>
        </is>
      </c>
      <c r="B419" s="60">
        <f>IF(D419&gt;1/1/2001,B418+1," ")</f>
        <v/>
      </c>
      <c r="C419" s="59">
        <f>IF(B419&lt;&gt;" ",CONCATENATE(A419,B419)," ")</f>
        <v/>
      </c>
      <c r="D419" s="69" t="n"/>
      <c r="E419" s="72" t="n"/>
      <c r="F419" s="72" t="n"/>
      <c r="G419" s="72" t="n"/>
      <c r="H419" s="72" t="n"/>
      <c r="I419" s="72" t="n"/>
      <c r="J419" s="71" t="n"/>
      <c r="K419" s="73" t="n"/>
    </row>
    <row r="420">
      <c r="A420" s="62" t="inlineStr">
        <is>
          <t>P</t>
        </is>
      </c>
      <c r="B420" s="60">
        <f>IF(D420&gt;1/1/2001,B419+1," ")</f>
        <v/>
      </c>
      <c r="C420" s="59">
        <f>IF(B420&lt;&gt;" ",CONCATENATE(A420,B420)," ")</f>
        <v/>
      </c>
      <c r="D420" s="69" t="n"/>
      <c r="E420" s="72" t="n"/>
      <c r="F420" s="72" t="n"/>
      <c r="G420" s="72" t="n"/>
      <c r="H420" s="72" t="n"/>
      <c r="I420" s="72" t="n"/>
      <c r="J420" s="71" t="n"/>
      <c r="K420" s="73" t="n"/>
    </row>
    <row r="421">
      <c r="A421" s="62" t="inlineStr">
        <is>
          <t>P</t>
        </is>
      </c>
      <c r="B421" s="60">
        <f>IF(D421&gt;1/1/2001,B420+1," ")</f>
        <v/>
      </c>
      <c r="C421" s="59">
        <f>IF(B421&lt;&gt;" ",CONCATENATE(A421,B421)," ")</f>
        <v/>
      </c>
      <c r="D421" s="69" t="n"/>
      <c r="E421" s="72" t="n"/>
      <c r="F421" s="72" t="n"/>
      <c r="G421" s="72" t="n"/>
      <c r="H421" s="72" t="n"/>
      <c r="I421" s="72" t="n"/>
      <c r="J421" s="71" t="n"/>
      <c r="K421" s="73" t="n"/>
    </row>
    <row r="422">
      <c r="A422" s="62" t="inlineStr">
        <is>
          <t>P</t>
        </is>
      </c>
      <c r="B422" s="60">
        <f>IF(D422&gt;1/1/2001,B421+1," ")</f>
        <v/>
      </c>
      <c r="C422" s="59">
        <f>IF(B422&lt;&gt;" ",CONCATENATE(A422,B422)," ")</f>
        <v/>
      </c>
      <c r="D422" s="69" t="n"/>
      <c r="E422" s="72" t="n"/>
      <c r="F422" s="72" t="n"/>
      <c r="G422" s="72" t="n"/>
      <c r="H422" s="72" t="n"/>
      <c r="I422" s="72" t="n"/>
      <c r="J422" s="71" t="n"/>
      <c r="K422" s="73" t="n"/>
    </row>
    <row r="423">
      <c r="A423" s="62" t="inlineStr">
        <is>
          <t>P</t>
        </is>
      </c>
      <c r="B423" s="60">
        <f>IF(D423&gt;1/1/2001,B422+1," ")</f>
        <v/>
      </c>
      <c r="C423" s="59">
        <f>IF(B423&lt;&gt;" ",CONCATENATE(A423,B423)," ")</f>
        <v/>
      </c>
      <c r="D423" s="69" t="n"/>
      <c r="E423" s="72" t="n"/>
      <c r="F423" s="72" t="n"/>
      <c r="G423" s="72" t="n"/>
      <c r="H423" s="72" t="n"/>
      <c r="I423" s="72" t="n"/>
      <c r="J423" s="71" t="n"/>
      <c r="K423" s="73" t="n"/>
    </row>
    <row r="424">
      <c r="A424" s="62" t="inlineStr">
        <is>
          <t>P</t>
        </is>
      </c>
      <c r="B424" s="60">
        <f>IF(D424&gt;1/1/2001,B423+1," ")</f>
        <v/>
      </c>
      <c r="C424" s="59">
        <f>IF(B424&lt;&gt;" ",CONCATENATE(A424,B424)," ")</f>
        <v/>
      </c>
      <c r="D424" s="69" t="n"/>
      <c r="E424" s="72" t="n"/>
      <c r="F424" s="72" t="n"/>
      <c r="G424" s="72" t="n"/>
      <c r="H424" s="72" t="n"/>
      <c r="I424" s="72" t="n"/>
      <c r="J424" s="71" t="n"/>
      <c r="K424" s="73" t="n"/>
    </row>
    <row r="425">
      <c r="A425" s="62" t="inlineStr">
        <is>
          <t>P</t>
        </is>
      </c>
      <c r="B425" s="60">
        <f>IF(D425&gt;1/1/2001,B424+1," ")</f>
        <v/>
      </c>
      <c r="C425" s="59">
        <f>IF(B425&lt;&gt;" ",CONCATENATE(A425,B425)," ")</f>
        <v/>
      </c>
      <c r="D425" s="69" t="n"/>
      <c r="E425" s="72" t="n"/>
      <c r="F425" s="72" t="n"/>
      <c r="G425" s="72" t="n"/>
      <c r="H425" s="72" t="n"/>
      <c r="I425" s="72" t="n"/>
      <c r="J425" s="71" t="n"/>
      <c r="K425" s="73" t="n"/>
    </row>
    <row r="426">
      <c r="A426" s="62" t="inlineStr">
        <is>
          <t>P</t>
        </is>
      </c>
      <c r="B426" s="60">
        <f>IF(D426&gt;1/1/2001,B425+1," ")</f>
        <v/>
      </c>
      <c r="C426" s="59">
        <f>IF(B426&lt;&gt;" ",CONCATENATE(A426,B426)," ")</f>
        <v/>
      </c>
      <c r="D426" s="69" t="n"/>
      <c r="E426" s="72" t="n"/>
      <c r="F426" s="72" t="n"/>
      <c r="G426" s="72" t="n"/>
      <c r="H426" s="72" t="n"/>
      <c r="I426" s="72" t="n"/>
      <c r="J426" s="71" t="n"/>
      <c r="K426" s="73" t="n"/>
    </row>
    <row r="427">
      <c r="A427" s="62" t="inlineStr">
        <is>
          <t>P</t>
        </is>
      </c>
      <c r="B427" s="60">
        <f>IF(D427&gt;1/1/2001,B426+1," ")</f>
        <v/>
      </c>
      <c r="C427" s="59">
        <f>IF(B427&lt;&gt;" ",CONCATENATE(A427,B427)," ")</f>
        <v/>
      </c>
      <c r="D427" s="69" t="n"/>
      <c r="E427" s="72" t="n"/>
      <c r="F427" s="72" t="n"/>
      <c r="G427" s="72" t="n"/>
      <c r="H427" s="72" t="n"/>
      <c r="I427" s="72" t="n"/>
      <c r="J427" s="71" t="n"/>
      <c r="K427" s="73" t="n"/>
    </row>
    <row r="428">
      <c r="A428" s="62" t="inlineStr">
        <is>
          <t>P</t>
        </is>
      </c>
      <c r="B428" s="60">
        <f>IF(D428&gt;1/1/2001,B427+1," ")</f>
        <v/>
      </c>
      <c r="C428" s="59">
        <f>IF(B428&lt;&gt;" ",CONCATENATE(A428,B428)," ")</f>
        <v/>
      </c>
      <c r="D428" s="69" t="n"/>
      <c r="E428" s="72" t="n"/>
      <c r="F428" s="72" t="n"/>
      <c r="G428" s="72" t="n"/>
      <c r="H428" s="72" t="n"/>
      <c r="I428" s="72" t="n"/>
      <c r="J428" s="71" t="n"/>
      <c r="K428" s="73" t="n"/>
    </row>
    <row r="429">
      <c r="A429" s="62" t="inlineStr">
        <is>
          <t>P</t>
        </is>
      </c>
      <c r="B429" s="60">
        <f>IF(D429&gt;1/1/2001,B428+1," ")</f>
        <v/>
      </c>
      <c r="C429" s="59">
        <f>IF(B429&lt;&gt;" ",CONCATENATE(A429,B429)," ")</f>
        <v/>
      </c>
      <c r="D429" s="69" t="n"/>
      <c r="E429" s="72" t="n"/>
      <c r="F429" s="72" t="n"/>
      <c r="G429" s="72" t="n"/>
      <c r="H429" s="72" t="n"/>
      <c r="I429" s="72" t="n"/>
      <c r="J429" s="71" t="n"/>
      <c r="K429" s="73" t="n"/>
    </row>
    <row r="430">
      <c r="A430" s="62" t="inlineStr">
        <is>
          <t>P</t>
        </is>
      </c>
      <c r="B430" s="60">
        <f>IF(D430&gt;1/1/2001,B429+1," ")</f>
        <v/>
      </c>
      <c r="C430" s="59">
        <f>IF(B430&lt;&gt;" ",CONCATENATE(A430,B430)," ")</f>
        <v/>
      </c>
      <c r="D430" s="69" t="n"/>
      <c r="E430" s="72" t="n"/>
      <c r="F430" s="72" t="n"/>
      <c r="G430" s="72" t="n"/>
      <c r="H430" s="72" t="n"/>
      <c r="I430" s="72" t="n"/>
      <c r="J430" s="71" t="n"/>
      <c r="K430" s="73" t="n"/>
    </row>
    <row r="431">
      <c r="A431" s="62" t="inlineStr">
        <is>
          <t>P</t>
        </is>
      </c>
      <c r="B431" s="60">
        <f>IF(D431&gt;1/1/2001,B430+1," ")</f>
        <v/>
      </c>
      <c r="C431" s="59">
        <f>IF(B431&lt;&gt;" ",CONCATENATE(A431,B431)," ")</f>
        <v/>
      </c>
      <c r="D431" s="69" t="n"/>
      <c r="E431" s="72" t="n"/>
      <c r="F431" s="72" t="n"/>
      <c r="G431" s="72" t="n"/>
      <c r="H431" s="72" t="n"/>
      <c r="I431" s="72" t="n"/>
      <c r="J431" s="71" t="n"/>
      <c r="K431" s="73" t="n"/>
    </row>
    <row r="432">
      <c r="A432" s="62" t="inlineStr">
        <is>
          <t>P</t>
        </is>
      </c>
      <c r="B432" s="60">
        <f>IF(D432&gt;1/1/2001,B431+1," ")</f>
        <v/>
      </c>
      <c r="C432" s="59">
        <f>IF(B432&lt;&gt;" ",CONCATENATE(A432,B432)," ")</f>
        <v/>
      </c>
      <c r="D432" s="69" t="n"/>
      <c r="E432" s="72" t="n"/>
      <c r="F432" s="72" t="n"/>
      <c r="G432" s="72" t="n"/>
      <c r="H432" s="72" t="n"/>
      <c r="I432" s="72" t="n"/>
      <c r="J432" s="71" t="n"/>
      <c r="K432" s="73" t="n"/>
    </row>
    <row r="433">
      <c r="A433" s="62" t="inlineStr">
        <is>
          <t>P</t>
        </is>
      </c>
      <c r="B433" s="60">
        <f>IF(D433&gt;1/1/2001,B432+1," ")</f>
        <v/>
      </c>
      <c r="C433" s="59">
        <f>IF(B433&lt;&gt;" ",CONCATENATE(A433,B433)," ")</f>
        <v/>
      </c>
      <c r="D433" s="69" t="n"/>
      <c r="E433" s="72" t="n"/>
      <c r="F433" s="72" t="n"/>
      <c r="G433" s="72" t="n"/>
      <c r="H433" s="72" t="n"/>
      <c r="I433" s="72" t="n"/>
      <c r="J433" s="71" t="n"/>
      <c r="K433" s="73" t="n"/>
    </row>
    <row r="434">
      <c r="A434" s="62" t="inlineStr">
        <is>
          <t>P</t>
        </is>
      </c>
      <c r="B434" s="60">
        <f>IF(D434&gt;1/1/2001,B433+1," ")</f>
        <v/>
      </c>
      <c r="C434" s="59">
        <f>IF(B434&lt;&gt;" ",CONCATENATE(A434,B434)," ")</f>
        <v/>
      </c>
      <c r="D434" s="69" t="n"/>
      <c r="E434" s="72" t="n"/>
      <c r="F434" s="72" t="n"/>
      <c r="G434" s="72" t="n"/>
      <c r="H434" s="72" t="n"/>
      <c r="I434" s="72" t="n"/>
      <c r="J434" s="71" t="n"/>
      <c r="K434" s="73" t="n"/>
    </row>
    <row r="435">
      <c r="A435" s="62" t="inlineStr">
        <is>
          <t>P</t>
        </is>
      </c>
      <c r="B435" s="60">
        <f>IF(D435&gt;1/1/2001,B434+1," ")</f>
        <v/>
      </c>
      <c r="C435" s="59">
        <f>IF(B435&lt;&gt;" ",CONCATENATE(A435,B435)," ")</f>
        <v/>
      </c>
      <c r="D435" s="69" t="n"/>
      <c r="E435" s="72" t="n"/>
      <c r="F435" s="72" t="n"/>
      <c r="G435" s="72" t="n"/>
      <c r="H435" s="72" t="n"/>
      <c r="I435" s="72" t="n"/>
      <c r="J435" s="71" t="n"/>
      <c r="K435" s="73" t="n"/>
    </row>
    <row r="436">
      <c r="A436" s="62" t="inlineStr">
        <is>
          <t>P</t>
        </is>
      </c>
      <c r="B436" s="60">
        <f>IF(D436&gt;1/1/2001,B435+1," ")</f>
        <v/>
      </c>
      <c r="C436" s="59">
        <f>IF(B436&lt;&gt;" ",CONCATENATE(A436,B436)," ")</f>
        <v/>
      </c>
      <c r="D436" s="69" t="n"/>
      <c r="E436" s="72" t="n"/>
      <c r="F436" s="72" t="n"/>
      <c r="G436" s="72" t="n"/>
      <c r="H436" s="72" t="n"/>
      <c r="I436" s="72" t="n"/>
      <c r="J436" s="71" t="n"/>
      <c r="K436" s="73" t="n"/>
    </row>
    <row r="437">
      <c r="A437" s="62" t="inlineStr">
        <is>
          <t>P</t>
        </is>
      </c>
      <c r="B437" s="60">
        <f>IF(D437&gt;1/1/2001,B436+1," ")</f>
        <v/>
      </c>
      <c r="C437" s="59">
        <f>IF(B437&lt;&gt;" ",CONCATENATE(A437,B437)," ")</f>
        <v/>
      </c>
      <c r="D437" s="69" t="n"/>
      <c r="E437" s="72" t="n"/>
      <c r="F437" s="72" t="n"/>
      <c r="G437" s="72" t="n"/>
      <c r="H437" s="72" t="n"/>
      <c r="I437" s="72" t="n"/>
      <c r="J437" s="71" t="n"/>
      <c r="K437" s="73" t="n"/>
    </row>
    <row r="438">
      <c r="A438" s="62" t="inlineStr">
        <is>
          <t>P</t>
        </is>
      </c>
      <c r="B438" s="60">
        <f>IF(D438&gt;1/1/2001,B437+1," ")</f>
        <v/>
      </c>
      <c r="C438" s="59">
        <f>IF(B438&lt;&gt;" ",CONCATENATE(A438,B438)," ")</f>
        <v/>
      </c>
      <c r="D438" s="69" t="n"/>
      <c r="E438" s="72" t="n"/>
      <c r="F438" s="72" t="n"/>
      <c r="G438" s="72" t="n"/>
      <c r="H438" s="72" t="n"/>
      <c r="I438" s="72" t="n"/>
      <c r="J438" s="71" t="n"/>
      <c r="K438" s="73" t="n"/>
    </row>
    <row r="439">
      <c r="A439" s="62" t="inlineStr">
        <is>
          <t>P</t>
        </is>
      </c>
      <c r="B439" s="60">
        <f>IF(D439&gt;1/1/2001,B438+1," ")</f>
        <v/>
      </c>
      <c r="C439" s="59">
        <f>IF(B439&lt;&gt;" ",CONCATENATE(A439,B439)," ")</f>
        <v/>
      </c>
      <c r="D439" s="69" t="n"/>
      <c r="E439" s="72" t="n"/>
      <c r="F439" s="72" t="n"/>
      <c r="G439" s="72" t="n"/>
      <c r="H439" s="72" t="n"/>
      <c r="I439" s="72" t="n"/>
      <c r="J439" s="71" t="n"/>
      <c r="K439" s="73" t="n"/>
    </row>
    <row r="440">
      <c r="A440" s="62" t="inlineStr">
        <is>
          <t>P</t>
        </is>
      </c>
      <c r="B440" s="60">
        <f>IF(D440&gt;1/1/2001,B439+1," ")</f>
        <v/>
      </c>
      <c r="C440" s="59">
        <f>IF(B440&lt;&gt;" ",CONCATENATE(A440,B440)," ")</f>
        <v/>
      </c>
      <c r="D440" s="69" t="n"/>
      <c r="E440" s="72" t="n"/>
      <c r="F440" s="72" t="n"/>
      <c r="G440" s="72" t="n"/>
      <c r="H440" s="72" t="n"/>
      <c r="I440" s="72" t="n"/>
      <c r="J440" s="71" t="n"/>
      <c r="K440" s="73" t="n"/>
    </row>
    <row r="441">
      <c r="A441" s="62" t="inlineStr">
        <is>
          <t>P</t>
        </is>
      </c>
      <c r="B441" s="60">
        <f>IF(D441&gt;1/1/2001,B440+1," ")</f>
        <v/>
      </c>
      <c r="C441" s="59">
        <f>IF(B441&lt;&gt;" ",CONCATENATE(A441,B441)," ")</f>
        <v/>
      </c>
      <c r="D441" s="69" t="n"/>
      <c r="E441" s="72" t="n"/>
      <c r="F441" s="72" t="n"/>
      <c r="G441" s="72" t="n"/>
      <c r="H441" s="72" t="n"/>
      <c r="I441" s="72" t="n"/>
      <c r="J441" s="71" t="n"/>
      <c r="K441" s="73" t="n"/>
    </row>
    <row r="442">
      <c r="A442" s="62" t="inlineStr">
        <is>
          <t>P</t>
        </is>
      </c>
      <c r="B442" s="60">
        <f>IF(D442&gt;1/1/2001,B441+1," ")</f>
        <v/>
      </c>
      <c r="C442" s="59">
        <f>IF(B442&lt;&gt;" ",CONCATENATE(A442,B442)," ")</f>
        <v/>
      </c>
      <c r="D442" s="69" t="n"/>
      <c r="E442" s="72" t="n"/>
      <c r="F442" s="72" t="n"/>
      <c r="G442" s="72" t="n"/>
      <c r="H442" s="72" t="n"/>
      <c r="I442" s="72" t="n"/>
      <c r="J442" s="71" t="n"/>
      <c r="K442" s="73" t="n"/>
    </row>
    <row r="443">
      <c r="A443" s="62" t="inlineStr">
        <is>
          <t>P</t>
        </is>
      </c>
      <c r="B443" s="60">
        <f>IF(D443&gt;1/1/2001,B442+1," ")</f>
        <v/>
      </c>
      <c r="C443" s="59">
        <f>IF(B443&lt;&gt;" ",CONCATENATE(A443,B443)," ")</f>
        <v/>
      </c>
      <c r="D443" s="69" t="n"/>
      <c r="E443" s="72" t="n"/>
      <c r="F443" s="72" t="n"/>
      <c r="G443" s="72" t="n"/>
      <c r="H443" s="72" t="n"/>
      <c r="I443" s="72" t="n"/>
      <c r="J443" s="71" t="n"/>
      <c r="K443" s="73" t="n"/>
    </row>
    <row r="444">
      <c r="A444" s="62" t="inlineStr">
        <is>
          <t>P</t>
        </is>
      </c>
      <c r="B444" s="60">
        <f>IF(D444&gt;1/1/2001,B443+1," ")</f>
        <v/>
      </c>
      <c r="C444" s="59">
        <f>IF(B444&lt;&gt;" ",CONCATENATE(A444,B444)," ")</f>
        <v/>
      </c>
      <c r="D444" s="69" t="n"/>
      <c r="E444" s="72" t="n"/>
      <c r="F444" s="72" t="n"/>
      <c r="G444" s="72" t="n"/>
      <c r="H444" s="72" t="n"/>
      <c r="I444" s="72" t="n"/>
      <c r="J444" s="71" t="n"/>
      <c r="K444" s="73" t="n"/>
    </row>
    <row r="445">
      <c r="A445" s="62" t="inlineStr">
        <is>
          <t>P</t>
        </is>
      </c>
      <c r="B445" s="60">
        <f>IF(D445&gt;1/1/2001,B444+1," ")</f>
        <v/>
      </c>
      <c r="C445" s="59">
        <f>IF(B445&lt;&gt;" ",CONCATENATE(A445,B445)," ")</f>
        <v/>
      </c>
      <c r="D445" s="69" t="n"/>
      <c r="E445" s="72" t="n"/>
      <c r="F445" s="72" t="n"/>
      <c r="G445" s="72" t="n"/>
      <c r="H445" s="72" t="n"/>
      <c r="I445" s="72" t="n"/>
      <c r="J445" s="71" t="n"/>
      <c r="K445" s="73" t="n"/>
    </row>
    <row r="446">
      <c r="A446" s="62" t="inlineStr">
        <is>
          <t>P</t>
        </is>
      </c>
      <c r="B446" s="60">
        <f>IF(D446&gt;1/1/2001,B445+1," ")</f>
        <v/>
      </c>
      <c r="C446" s="59">
        <f>IF(B446&lt;&gt;" ",CONCATENATE(A446,B446)," ")</f>
        <v/>
      </c>
      <c r="D446" s="69" t="n"/>
      <c r="E446" s="72" t="n"/>
      <c r="F446" s="72" t="n"/>
      <c r="G446" s="72" t="n"/>
      <c r="H446" s="72" t="n"/>
      <c r="I446" s="72" t="n"/>
      <c r="J446" s="71" t="n"/>
      <c r="K446" s="73" t="n"/>
    </row>
    <row r="447">
      <c r="A447" s="62" t="inlineStr">
        <is>
          <t>P</t>
        </is>
      </c>
      <c r="B447" s="60">
        <f>IF(D447&gt;1/1/2001,B446+1," ")</f>
        <v/>
      </c>
      <c r="C447" s="59">
        <f>IF(B447&lt;&gt;" ",CONCATENATE(A447,B447)," ")</f>
        <v/>
      </c>
      <c r="D447" s="69" t="n"/>
      <c r="E447" s="72" t="n"/>
      <c r="F447" s="72" t="n"/>
      <c r="G447" s="72" t="n"/>
      <c r="H447" s="72" t="n"/>
      <c r="I447" s="72" t="n"/>
      <c r="J447" s="71" t="n"/>
      <c r="K447" s="73" t="n"/>
    </row>
    <row r="448">
      <c r="A448" s="62" t="inlineStr">
        <is>
          <t>P</t>
        </is>
      </c>
      <c r="B448" s="60">
        <f>IF(D448&gt;1/1/2001,B447+1," ")</f>
        <v/>
      </c>
      <c r="C448" s="59">
        <f>IF(B448&lt;&gt;" ",CONCATENATE(A448,B448)," ")</f>
        <v/>
      </c>
      <c r="D448" s="69" t="n"/>
      <c r="E448" s="72" t="n"/>
      <c r="F448" s="72" t="n"/>
      <c r="G448" s="72" t="n"/>
      <c r="H448" s="72" t="n"/>
      <c r="I448" s="72" t="n"/>
      <c r="J448" s="71" t="n"/>
      <c r="K448" s="73" t="n"/>
    </row>
    <row r="449">
      <c r="A449" s="62" t="inlineStr">
        <is>
          <t>P</t>
        </is>
      </c>
      <c r="B449" s="60">
        <f>IF(D449&gt;1/1/2001,B448+1," ")</f>
        <v/>
      </c>
      <c r="C449" s="59">
        <f>IF(B449&lt;&gt;" ",CONCATENATE(A449,B449)," ")</f>
        <v/>
      </c>
      <c r="D449" s="69" t="n"/>
      <c r="E449" s="72" t="n"/>
      <c r="F449" s="72" t="n"/>
      <c r="G449" s="72" t="n"/>
      <c r="H449" s="72" t="n"/>
      <c r="I449" s="72" t="n"/>
      <c r="J449" s="71" t="n"/>
      <c r="K449" s="73" t="n"/>
    </row>
    <row r="450">
      <c r="A450" s="62" t="inlineStr">
        <is>
          <t>P</t>
        </is>
      </c>
      <c r="B450" s="60">
        <f>IF(D450&gt;1/1/2001,B449+1," ")</f>
        <v/>
      </c>
      <c r="C450" s="59">
        <f>IF(B450&lt;&gt;" ",CONCATENATE(A450,B450)," ")</f>
        <v/>
      </c>
      <c r="D450" s="69" t="n"/>
      <c r="E450" s="72" t="n"/>
      <c r="F450" s="72" t="n"/>
      <c r="G450" s="72" t="n"/>
      <c r="H450" s="72" t="n"/>
      <c r="I450" s="72" t="n"/>
      <c r="J450" s="71" t="n"/>
      <c r="K450" s="73" t="n"/>
    </row>
    <row r="451">
      <c r="A451" s="62" t="inlineStr">
        <is>
          <t>P</t>
        </is>
      </c>
      <c r="B451" s="60">
        <f>IF(D451&gt;1/1/2001,B450+1," ")</f>
        <v/>
      </c>
      <c r="C451" s="59">
        <f>IF(B451&lt;&gt;" ",CONCATENATE(A451,B451)," ")</f>
        <v/>
      </c>
      <c r="D451" s="69" t="n"/>
      <c r="E451" s="72" t="n"/>
      <c r="F451" s="72" t="n"/>
      <c r="G451" s="72" t="n"/>
      <c r="H451" s="72" t="n"/>
      <c r="I451" s="72" t="n"/>
      <c r="J451" s="71" t="n"/>
      <c r="K451" s="73" t="n"/>
    </row>
    <row r="452">
      <c r="A452" s="62" t="inlineStr">
        <is>
          <t>P</t>
        </is>
      </c>
      <c r="B452" s="60">
        <f>IF(D452&gt;1/1/2001,B451+1," ")</f>
        <v/>
      </c>
      <c r="C452" s="59">
        <f>IF(B452&lt;&gt;" ",CONCATENATE(A452,B452)," ")</f>
        <v/>
      </c>
      <c r="D452" s="69" t="n"/>
      <c r="E452" s="72" t="n"/>
      <c r="F452" s="72" t="n"/>
      <c r="G452" s="72" t="n"/>
      <c r="H452" s="72" t="n"/>
      <c r="I452" s="72" t="n"/>
      <c r="J452" s="71" t="n"/>
      <c r="K452" s="73" t="n"/>
    </row>
    <row r="453">
      <c r="A453" s="62" t="inlineStr">
        <is>
          <t>P</t>
        </is>
      </c>
      <c r="B453" s="60">
        <f>IF(D453&gt;1/1/2001,B452+1," ")</f>
        <v/>
      </c>
      <c r="C453" s="59">
        <f>IF(B453&lt;&gt;" ",CONCATENATE(A453,B453)," ")</f>
        <v/>
      </c>
      <c r="D453" s="69" t="n"/>
      <c r="E453" s="72" t="n"/>
      <c r="F453" s="72" t="n"/>
      <c r="G453" s="72" t="n"/>
      <c r="H453" s="72" t="n"/>
      <c r="I453" s="72" t="n"/>
      <c r="J453" s="71" t="n"/>
      <c r="K453" s="73" t="n"/>
    </row>
    <row r="454">
      <c r="A454" s="62" t="inlineStr">
        <is>
          <t>P</t>
        </is>
      </c>
      <c r="B454" s="60">
        <f>IF(D454&gt;1/1/2001,B453+1," ")</f>
        <v/>
      </c>
      <c r="C454" s="59">
        <f>IF(B454&lt;&gt;" ",CONCATENATE(A454,B454)," ")</f>
        <v/>
      </c>
      <c r="D454" s="69" t="n"/>
      <c r="E454" s="72" t="n"/>
      <c r="F454" s="72" t="n"/>
      <c r="G454" s="72" t="n"/>
      <c r="H454" s="72" t="n"/>
      <c r="I454" s="72" t="n"/>
      <c r="J454" s="71" t="n"/>
      <c r="K454" s="73" t="n"/>
    </row>
    <row r="455">
      <c r="A455" s="62" t="inlineStr">
        <is>
          <t>P</t>
        </is>
      </c>
      <c r="B455" s="60">
        <f>IF(D455&gt;1/1/2001,B454+1," ")</f>
        <v/>
      </c>
      <c r="C455" s="59">
        <f>IF(B455&lt;&gt;" ",CONCATENATE(A455,B455)," ")</f>
        <v/>
      </c>
      <c r="D455" s="69" t="n"/>
      <c r="E455" s="72" t="n"/>
      <c r="F455" s="72" t="n"/>
      <c r="G455" s="72" t="n"/>
      <c r="H455" s="72" t="n"/>
      <c r="I455" s="72" t="n"/>
      <c r="J455" s="71" t="n"/>
      <c r="K455" s="73" t="n"/>
    </row>
    <row r="456">
      <c r="A456" s="62" t="inlineStr">
        <is>
          <t>P</t>
        </is>
      </c>
      <c r="B456" s="60">
        <f>IF(D456&gt;1/1/2001,B455+1," ")</f>
        <v/>
      </c>
      <c r="C456" s="59">
        <f>IF(B456&lt;&gt;" ",CONCATENATE(A456,B456)," ")</f>
        <v/>
      </c>
      <c r="D456" s="69" t="n"/>
      <c r="E456" s="72" t="n"/>
      <c r="F456" s="72" t="n"/>
      <c r="G456" s="72" t="n"/>
      <c r="H456" s="72" t="n"/>
      <c r="I456" s="72" t="n"/>
      <c r="J456" s="71" t="n"/>
      <c r="K456" s="73" t="n"/>
    </row>
    <row r="457">
      <c r="A457" s="62" t="inlineStr">
        <is>
          <t>P</t>
        </is>
      </c>
      <c r="B457" s="60">
        <f>IF(D457&gt;1/1/2001,B456+1," ")</f>
        <v/>
      </c>
      <c r="C457" s="59">
        <f>IF(B457&lt;&gt;" ",CONCATENATE(A457,B457)," ")</f>
        <v/>
      </c>
      <c r="D457" s="69" t="n"/>
      <c r="E457" s="72" t="n"/>
      <c r="F457" s="72" t="n"/>
      <c r="G457" s="72" t="n"/>
      <c r="H457" s="72" t="n"/>
      <c r="I457" s="72" t="n"/>
      <c r="J457" s="71" t="n"/>
      <c r="K457" s="73" t="n"/>
    </row>
    <row r="458">
      <c r="A458" s="62" t="inlineStr">
        <is>
          <t>P</t>
        </is>
      </c>
      <c r="B458" s="60">
        <f>IF(D458&gt;1/1/2001,B457+1," ")</f>
        <v/>
      </c>
      <c r="C458" s="59">
        <f>IF(B458&lt;&gt;" ",CONCATENATE(A458,B458)," ")</f>
        <v/>
      </c>
      <c r="D458" s="69" t="n"/>
      <c r="E458" s="72" t="n"/>
      <c r="F458" s="72" t="n"/>
      <c r="G458" s="72" t="n"/>
      <c r="H458" s="72" t="n"/>
      <c r="I458" s="72" t="n"/>
      <c r="J458" s="71" t="n"/>
      <c r="K458" s="73" t="n"/>
    </row>
    <row r="459">
      <c r="A459" s="62" t="inlineStr">
        <is>
          <t>P</t>
        </is>
      </c>
      <c r="B459" s="60">
        <f>IF(D459&gt;1/1/2001,B458+1," ")</f>
        <v/>
      </c>
      <c r="C459" s="59">
        <f>IF(B459&lt;&gt;" ",CONCATENATE(A459,B459)," ")</f>
        <v/>
      </c>
      <c r="D459" s="69" t="n"/>
      <c r="E459" s="72" t="n"/>
      <c r="F459" s="72" t="n"/>
      <c r="G459" s="72" t="n"/>
      <c r="H459" s="72" t="n"/>
      <c r="I459" s="72" t="n"/>
      <c r="J459" s="71" t="n"/>
      <c r="K459" s="73" t="n"/>
    </row>
    <row r="460">
      <c r="A460" s="62" t="inlineStr">
        <is>
          <t>P</t>
        </is>
      </c>
      <c r="B460" s="60">
        <f>IF(D460&gt;1/1/2001,B459+1," ")</f>
        <v/>
      </c>
      <c r="C460" s="59">
        <f>IF(B460&lt;&gt;" ",CONCATENATE(A460,B460)," ")</f>
        <v/>
      </c>
      <c r="D460" s="69" t="n"/>
      <c r="E460" s="72" t="n"/>
      <c r="F460" s="72" t="n"/>
      <c r="G460" s="72" t="n"/>
      <c r="H460" s="72" t="n"/>
      <c r="I460" s="72" t="n"/>
      <c r="J460" s="71" t="n"/>
      <c r="K460" s="73" t="n"/>
    </row>
    <row r="461">
      <c r="A461" s="62" t="inlineStr">
        <is>
          <t>P</t>
        </is>
      </c>
      <c r="B461" s="60">
        <f>IF(D461&gt;1/1/2001,B460+1," ")</f>
        <v/>
      </c>
      <c r="C461" s="59">
        <f>IF(B461&lt;&gt;" ",CONCATENATE(A461,B461)," ")</f>
        <v/>
      </c>
      <c r="D461" s="69" t="n"/>
      <c r="E461" s="72" t="n"/>
      <c r="F461" s="72" t="n"/>
      <c r="G461" s="72" t="n"/>
      <c r="H461" s="72" t="n"/>
      <c r="I461" s="72" t="n"/>
      <c r="J461" s="71" t="n"/>
      <c r="K461" s="73" t="n"/>
    </row>
    <row r="462">
      <c r="A462" s="62" t="inlineStr">
        <is>
          <t>P</t>
        </is>
      </c>
      <c r="B462" s="60">
        <f>IF(D462&gt;1/1/2001,B461+1," ")</f>
        <v/>
      </c>
      <c r="C462" s="59">
        <f>IF(B462&lt;&gt;" ",CONCATENATE(A462,B462)," ")</f>
        <v/>
      </c>
      <c r="D462" s="69" t="n"/>
      <c r="E462" s="72" t="n"/>
      <c r="F462" s="72" t="n"/>
      <c r="G462" s="72" t="n"/>
      <c r="H462" s="72" t="n"/>
      <c r="I462" s="72" t="n"/>
      <c r="J462" s="71" t="n"/>
      <c r="K462" s="73" t="n"/>
    </row>
    <row r="463">
      <c r="A463" s="62" t="inlineStr">
        <is>
          <t>P</t>
        </is>
      </c>
      <c r="B463" s="60">
        <f>IF(D463&gt;1/1/2001,B462+1," ")</f>
        <v/>
      </c>
      <c r="C463" s="59">
        <f>IF(B463&lt;&gt;" ",CONCATENATE(A463,B463)," ")</f>
        <v/>
      </c>
      <c r="D463" s="69" t="n"/>
      <c r="E463" s="72" t="n"/>
      <c r="F463" s="72" t="n"/>
      <c r="G463" s="72" t="n"/>
      <c r="H463" s="72" t="n"/>
      <c r="I463" s="72" t="n"/>
      <c r="J463" s="71" t="n"/>
      <c r="K463" s="73" t="n"/>
    </row>
    <row r="464">
      <c r="A464" s="62" t="inlineStr">
        <is>
          <t>P</t>
        </is>
      </c>
      <c r="B464" s="60">
        <f>IF(D464&gt;1/1/2001,B463+1," ")</f>
        <v/>
      </c>
      <c r="C464" s="59">
        <f>IF(B464&lt;&gt;" ",CONCATENATE(A464,B464)," ")</f>
        <v/>
      </c>
      <c r="D464" s="69" t="n"/>
      <c r="E464" s="72" t="n"/>
      <c r="F464" s="72" t="n"/>
      <c r="G464" s="72" t="n"/>
      <c r="H464" s="72" t="n"/>
      <c r="I464" s="72" t="n"/>
      <c r="J464" s="71" t="n"/>
      <c r="K464" s="73" t="n"/>
    </row>
    <row r="465">
      <c r="A465" s="62" t="inlineStr">
        <is>
          <t>P</t>
        </is>
      </c>
      <c r="B465" s="60">
        <f>IF(D465&gt;1/1/2001,B464+1," ")</f>
        <v/>
      </c>
      <c r="C465" s="59">
        <f>IF(B465&lt;&gt;" ",CONCATENATE(A465,B465)," ")</f>
        <v/>
      </c>
      <c r="D465" s="69" t="n"/>
      <c r="E465" s="72" t="n"/>
      <c r="F465" s="72" t="n"/>
      <c r="G465" s="72" t="n"/>
      <c r="H465" s="72" t="n"/>
      <c r="I465" s="72" t="n"/>
      <c r="J465" s="71" t="n"/>
      <c r="K465" s="73" t="n"/>
    </row>
    <row r="466">
      <c r="A466" s="62" t="inlineStr">
        <is>
          <t>P</t>
        </is>
      </c>
      <c r="B466" s="60">
        <f>IF(D466&gt;1/1/2001,B465+1," ")</f>
        <v/>
      </c>
      <c r="C466" s="59">
        <f>IF(B466&lt;&gt;" ",CONCATENATE(A466,B466)," ")</f>
        <v/>
      </c>
      <c r="D466" s="69" t="n"/>
      <c r="E466" s="72" t="n"/>
      <c r="F466" s="72" t="n"/>
      <c r="G466" s="72" t="n"/>
      <c r="H466" s="72" t="n"/>
      <c r="I466" s="72" t="n"/>
      <c r="J466" s="71" t="n"/>
      <c r="K466" s="73" t="n"/>
    </row>
    <row r="467">
      <c r="A467" s="62" t="inlineStr">
        <is>
          <t>P</t>
        </is>
      </c>
      <c r="B467" s="60">
        <f>IF(D467&gt;1/1/2001,B466+1," ")</f>
        <v/>
      </c>
      <c r="C467" s="59">
        <f>IF(B467&lt;&gt;" ",CONCATENATE(A467,B467)," ")</f>
        <v/>
      </c>
      <c r="D467" s="69" t="n"/>
      <c r="E467" s="72" t="n"/>
      <c r="F467" s="72" t="n"/>
      <c r="G467" s="72" t="n"/>
      <c r="H467" s="72" t="n"/>
      <c r="I467" s="72" t="n"/>
      <c r="J467" s="71" t="n"/>
      <c r="K467" s="73" t="n"/>
    </row>
    <row r="468">
      <c r="A468" s="62" t="inlineStr">
        <is>
          <t>P</t>
        </is>
      </c>
      <c r="B468" s="60">
        <f>IF(D468&gt;1/1/2001,B467+1," ")</f>
        <v/>
      </c>
      <c r="C468" s="59">
        <f>IF(B468&lt;&gt;" ",CONCATENATE(A468,B468)," ")</f>
        <v/>
      </c>
      <c r="D468" s="69" t="n"/>
      <c r="E468" s="72" t="n"/>
      <c r="F468" s="72" t="n"/>
      <c r="G468" s="72" t="n"/>
      <c r="H468" s="72" t="n"/>
      <c r="I468" s="72" t="n"/>
      <c r="J468" s="71" t="n"/>
      <c r="K468" s="73" t="n"/>
    </row>
    <row r="469">
      <c r="A469" s="62" t="inlineStr">
        <is>
          <t>P</t>
        </is>
      </c>
      <c r="B469" s="60">
        <f>IF(D469&gt;1/1/2001,B468+1," ")</f>
        <v/>
      </c>
      <c r="C469" s="59">
        <f>IF(B469&lt;&gt;" ",CONCATENATE(A469,B469)," ")</f>
        <v/>
      </c>
      <c r="D469" s="69" t="n"/>
      <c r="E469" s="72" t="n"/>
      <c r="F469" s="72" t="n"/>
      <c r="G469" s="72" t="n"/>
      <c r="H469" s="72" t="n"/>
      <c r="I469" s="72" t="n"/>
      <c r="J469" s="71" t="n"/>
      <c r="K469" s="73" t="n"/>
    </row>
    <row r="470">
      <c r="A470" s="62" t="inlineStr">
        <is>
          <t>P</t>
        </is>
      </c>
      <c r="B470" s="60">
        <f>IF(D470&gt;1/1/2001,B469+1," ")</f>
        <v/>
      </c>
      <c r="C470" s="59">
        <f>IF(B470&lt;&gt;" ",CONCATENATE(A470,B470)," ")</f>
        <v/>
      </c>
      <c r="D470" s="69" t="n"/>
      <c r="E470" s="72" t="n"/>
      <c r="F470" s="72" t="n"/>
      <c r="G470" s="72" t="n"/>
      <c r="H470" s="72" t="n"/>
      <c r="I470" s="72" t="n"/>
      <c r="J470" s="71" t="n"/>
      <c r="K470" s="73" t="n"/>
    </row>
    <row r="471">
      <c r="A471" s="62" t="inlineStr">
        <is>
          <t>P</t>
        </is>
      </c>
      <c r="B471" s="60">
        <f>IF(D471&gt;1/1/2001,B470+1," ")</f>
        <v/>
      </c>
      <c r="C471" s="59">
        <f>IF(B471&lt;&gt;" ",CONCATENATE(A471,B471)," ")</f>
        <v/>
      </c>
      <c r="D471" s="69" t="n"/>
      <c r="E471" s="72" t="n"/>
      <c r="F471" s="72" t="n"/>
      <c r="G471" s="72" t="n"/>
      <c r="H471" s="72" t="n"/>
      <c r="I471" s="72" t="n"/>
      <c r="J471" s="71" t="n"/>
      <c r="K471" s="73" t="n"/>
    </row>
    <row r="472">
      <c r="A472" s="62" t="inlineStr">
        <is>
          <t>P</t>
        </is>
      </c>
      <c r="B472" s="60">
        <f>IF(D472&gt;1/1/2001,B471+1," ")</f>
        <v/>
      </c>
      <c r="C472" s="59">
        <f>IF(B472&lt;&gt;" ",CONCATENATE(A472,B472)," ")</f>
        <v/>
      </c>
      <c r="D472" s="69" t="n"/>
      <c r="E472" s="72" t="n"/>
      <c r="F472" s="72" t="n"/>
      <c r="G472" s="72" t="n"/>
      <c r="H472" s="72" t="n"/>
      <c r="I472" s="72" t="n"/>
      <c r="J472" s="71" t="n"/>
      <c r="K472" s="73" t="n"/>
    </row>
    <row r="473">
      <c r="A473" s="62" t="inlineStr">
        <is>
          <t>P</t>
        </is>
      </c>
      <c r="B473" s="60">
        <f>IF(D473&gt;1/1/2001,B472+1," ")</f>
        <v/>
      </c>
      <c r="C473" s="59">
        <f>IF(B473&lt;&gt;" ",CONCATENATE(A473,B473)," ")</f>
        <v/>
      </c>
      <c r="D473" s="69" t="n"/>
      <c r="E473" s="72" t="n"/>
      <c r="F473" s="72" t="n"/>
      <c r="G473" s="72" t="n"/>
      <c r="H473" s="72" t="n"/>
      <c r="I473" s="72" t="n"/>
      <c r="J473" s="71" t="n"/>
      <c r="K473" s="73" t="n"/>
    </row>
    <row r="474">
      <c r="A474" s="62" t="inlineStr">
        <is>
          <t>P</t>
        </is>
      </c>
      <c r="B474" s="60">
        <f>IF(D474&gt;1/1/2001,B473+1," ")</f>
        <v/>
      </c>
      <c r="C474" s="59">
        <f>IF(B474&lt;&gt;" ",CONCATENATE(A474,B474)," ")</f>
        <v/>
      </c>
      <c r="D474" s="69" t="n"/>
      <c r="E474" s="72" t="n"/>
      <c r="F474" s="72" t="n"/>
      <c r="G474" s="72" t="n"/>
      <c r="H474" s="72" t="n"/>
      <c r="I474" s="72" t="n"/>
      <c r="J474" s="71" t="n"/>
      <c r="K474" s="73" t="n"/>
    </row>
    <row r="475">
      <c r="A475" s="62" t="inlineStr">
        <is>
          <t>P</t>
        </is>
      </c>
      <c r="B475" s="60">
        <f>IF(D475&gt;1/1/2001,B474+1," ")</f>
        <v/>
      </c>
      <c r="C475" s="59">
        <f>IF(B475&lt;&gt;" ",CONCATENATE(A475,B475)," ")</f>
        <v/>
      </c>
      <c r="D475" s="69" t="n"/>
      <c r="E475" s="72" t="n"/>
      <c r="F475" s="72" t="n"/>
      <c r="G475" s="72" t="n"/>
      <c r="H475" s="72" t="n"/>
      <c r="I475" s="72" t="n"/>
      <c r="J475" s="71" t="n"/>
      <c r="K475" s="73" t="n"/>
    </row>
    <row r="476">
      <c r="A476" s="62" t="inlineStr">
        <is>
          <t>P</t>
        </is>
      </c>
      <c r="B476" s="60">
        <f>IF(D476&gt;1/1/2001,B475+1," ")</f>
        <v/>
      </c>
      <c r="C476" s="59">
        <f>IF(B476&lt;&gt;" ",CONCATENATE(A476,B476)," ")</f>
        <v/>
      </c>
      <c r="D476" s="69" t="n"/>
      <c r="E476" s="72" t="n"/>
      <c r="F476" s="72" t="n"/>
      <c r="G476" s="72" t="n"/>
      <c r="H476" s="72" t="n"/>
      <c r="I476" s="72" t="n"/>
      <c r="J476" s="71" t="n"/>
      <c r="K476" s="73" t="n"/>
    </row>
    <row r="477">
      <c r="A477" s="62" t="inlineStr">
        <is>
          <t>P</t>
        </is>
      </c>
      <c r="B477" s="60">
        <f>IF(D477&gt;1/1/2001,B476+1," ")</f>
        <v/>
      </c>
      <c r="C477" s="59">
        <f>IF(B477&lt;&gt;" ",CONCATENATE(A477,B477)," ")</f>
        <v/>
      </c>
      <c r="D477" s="69" t="n"/>
      <c r="E477" s="72" t="n"/>
      <c r="F477" s="72" t="n"/>
      <c r="G477" s="72" t="n"/>
      <c r="H477" s="72" t="n"/>
      <c r="I477" s="72" t="n"/>
      <c r="J477" s="71" t="n"/>
      <c r="K477" s="73" t="n"/>
    </row>
    <row r="478">
      <c r="A478" s="62" t="inlineStr">
        <is>
          <t>P</t>
        </is>
      </c>
      <c r="B478" s="60">
        <f>IF(D478&gt;1/1/2001,B477+1," ")</f>
        <v/>
      </c>
      <c r="C478" s="59">
        <f>IF(B478&lt;&gt;" ",CONCATENATE(A478,B478)," ")</f>
        <v/>
      </c>
      <c r="D478" s="69" t="n"/>
      <c r="E478" s="72" t="n"/>
      <c r="F478" s="72" t="n"/>
      <c r="G478" s="72" t="n"/>
      <c r="H478" s="72" t="n"/>
      <c r="I478" s="72" t="n"/>
      <c r="J478" s="71" t="n"/>
      <c r="K478" s="73" t="n"/>
    </row>
    <row r="479">
      <c r="A479" s="62" t="inlineStr">
        <is>
          <t>P</t>
        </is>
      </c>
      <c r="B479" s="60">
        <f>IF(D479&gt;1/1/2001,B478+1," ")</f>
        <v/>
      </c>
      <c r="C479" s="59">
        <f>IF(B479&lt;&gt;" ",CONCATENATE(A479,B479)," ")</f>
        <v/>
      </c>
      <c r="D479" s="69" t="n"/>
      <c r="E479" s="72" t="n"/>
      <c r="F479" s="72" t="n"/>
      <c r="G479" s="72" t="n"/>
      <c r="H479" s="72" t="n"/>
      <c r="I479" s="72" t="n"/>
      <c r="J479" s="71" t="n"/>
      <c r="K479" s="73" t="n"/>
    </row>
    <row r="480">
      <c r="A480" s="62" t="inlineStr">
        <is>
          <t>P</t>
        </is>
      </c>
      <c r="B480" s="60">
        <f>IF(D480&gt;1/1/2001,B479+1," ")</f>
        <v/>
      </c>
      <c r="C480" s="59">
        <f>IF(B480&lt;&gt;" ",CONCATENATE(A480,B480)," ")</f>
        <v/>
      </c>
      <c r="D480" s="69" t="n"/>
      <c r="E480" s="72" t="n"/>
      <c r="F480" s="72" t="n"/>
      <c r="G480" s="72" t="n"/>
      <c r="H480" s="72" t="n"/>
      <c r="I480" s="72" t="n"/>
      <c r="J480" s="71" t="n"/>
      <c r="K480" s="73" t="n"/>
    </row>
    <row r="481">
      <c r="A481" s="62" t="inlineStr">
        <is>
          <t>P</t>
        </is>
      </c>
      <c r="B481" s="60">
        <f>IF(D481&gt;1/1/2001,B480+1," ")</f>
        <v/>
      </c>
      <c r="C481" s="59">
        <f>IF(B481&lt;&gt;" ",CONCATENATE(A481,B481)," ")</f>
        <v/>
      </c>
      <c r="D481" s="69" t="n"/>
      <c r="E481" s="72" t="n"/>
      <c r="F481" s="72" t="n"/>
      <c r="G481" s="72" t="n"/>
      <c r="H481" s="72" t="n"/>
      <c r="I481" s="72" t="n"/>
      <c r="J481" s="71" t="n"/>
      <c r="K481" s="73" t="n"/>
    </row>
    <row r="482">
      <c r="A482" s="62" t="inlineStr">
        <is>
          <t>P</t>
        </is>
      </c>
      <c r="B482" s="60">
        <f>IF(D482&gt;1/1/2001,B481+1," ")</f>
        <v/>
      </c>
      <c r="C482" s="59">
        <f>IF(B482&lt;&gt;" ",CONCATENATE(A482,B482)," ")</f>
        <v/>
      </c>
      <c r="D482" s="69" t="n"/>
      <c r="E482" s="72" t="n"/>
      <c r="F482" s="72" t="n"/>
      <c r="G482" s="72" t="n"/>
      <c r="H482" s="72" t="n"/>
      <c r="I482" s="72" t="n"/>
      <c r="J482" s="71" t="n"/>
      <c r="K482" s="73" t="n"/>
    </row>
    <row r="483">
      <c r="A483" s="62" t="inlineStr">
        <is>
          <t>P</t>
        </is>
      </c>
      <c r="B483" s="60">
        <f>IF(D483&gt;1/1/2001,B482+1," ")</f>
        <v/>
      </c>
      <c r="C483" s="59">
        <f>IF(B483&lt;&gt;" ",CONCATENATE(A483,B483)," ")</f>
        <v/>
      </c>
      <c r="D483" s="69" t="n"/>
      <c r="E483" s="72" t="n"/>
      <c r="F483" s="72" t="n"/>
      <c r="G483" s="72" t="n"/>
      <c r="H483" s="72" t="n"/>
      <c r="I483" s="72" t="n"/>
      <c r="J483" s="71" t="n"/>
      <c r="K483" s="73" t="n"/>
    </row>
    <row r="484">
      <c r="A484" s="62" t="inlineStr">
        <is>
          <t>P</t>
        </is>
      </c>
      <c r="B484" s="60">
        <f>IF(D484&gt;1/1/2001,B483+1," ")</f>
        <v/>
      </c>
      <c r="C484" s="59">
        <f>IF(B484&lt;&gt;" ",CONCATENATE(A484,B484)," ")</f>
        <v/>
      </c>
      <c r="D484" s="69" t="n"/>
      <c r="E484" s="72" t="n"/>
      <c r="F484" s="72" t="n"/>
      <c r="G484" s="72" t="n"/>
      <c r="H484" s="72" t="n"/>
      <c r="I484" s="72" t="n"/>
      <c r="J484" s="71" t="n"/>
      <c r="K484" s="73" t="n"/>
    </row>
    <row r="485">
      <c r="A485" s="62" t="inlineStr">
        <is>
          <t>P</t>
        </is>
      </c>
      <c r="B485" s="60">
        <f>IF(D485&gt;1/1/2001,B484+1," ")</f>
        <v/>
      </c>
      <c r="C485" s="59">
        <f>IF(B485&lt;&gt;" ",CONCATENATE(A485,B485)," ")</f>
        <v/>
      </c>
      <c r="D485" s="69" t="n"/>
      <c r="E485" s="72" t="n"/>
      <c r="F485" s="72" t="n"/>
      <c r="G485" s="72" t="n"/>
      <c r="H485" s="72" t="n"/>
      <c r="I485" s="72" t="n"/>
      <c r="J485" s="71" t="n"/>
      <c r="K485" s="73" t="n"/>
    </row>
    <row r="486">
      <c r="A486" s="62" t="inlineStr">
        <is>
          <t>P</t>
        </is>
      </c>
      <c r="B486" s="60">
        <f>IF(D486&gt;1/1/2001,B485+1," ")</f>
        <v/>
      </c>
      <c r="C486" s="59">
        <f>IF(B486&lt;&gt;" ",CONCATENATE(A486,B486)," ")</f>
        <v/>
      </c>
      <c r="D486" s="69" t="n"/>
      <c r="E486" s="72" t="n"/>
      <c r="F486" s="72" t="n"/>
      <c r="G486" s="72" t="n"/>
      <c r="H486" s="72" t="n"/>
      <c r="I486" s="72" t="n"/>
      <c r="J486" s="71" t="n"/>
      <c r="K486" s="73" t="n"/>
    </row>
    <row r="487">
      <c r="A487" s="62" t="inlineStr">
        <is>
          <t>P</t>
        </is>
      </c>
      <c r="B487" s="60">
        <f>IF(D487&gt;1/1/2001,B486+1," ")</f>
        <v/>
      </c>
      <c r="C487" s="59">
        <f>IF(B487&lt;&gt;" ",CONCATENATE(A487,B487)," ")</f>
        <v/>
      </c>
      <c r="D487" s="69" t="n"/>
      <c r="E487" s="72" t="n"/>
      <c r="F487" s="72" t="n"/>
      <c r="G487" s="72" t="n"/>
      <c r="H487" s="72" t="n"/>
      <c r="I487" s="72" t="n"/>
      <c r="J487" s="71" t="n"/>
      <c r="K487" s="73" t="n"/>
    </row>
    <row r="488">
      <c r="A488" s="62" t="inlineStr">
        <is>
          <t>P</t>
        </is>
      </c>
      <c r="B488" s="60">
        <f>IF(D488&gt;1/1/2001,B487+1," ")</f>
        <v/>
      </c>
      <c r="C488" s="59">
        <f>IF(B488&lt;&gt;" ",CONCATENATE(A488,B488)," ")</f>
        <v/>
      </c>
      <c r="D488" s="69" t="n"/>
      <c r="E488" s="72" t="n"/>
      <c r="F488" s="72" t="n"/>
      <c r="G488" s="72" t="n"/>
      <c r="H488" s="72" t="n"/>
      <c r="I488" s="72" t="n"/>
      <c r="J488" s="71" t="n"/>
      <c r="K488" s="73" t="n"/>
    </row>
    <row r="489">
      <c r="A489" s="62" t="inlineStr">
        <is>
          <t>P</t>
        </is>
      </c>
      <c r="B489" s="60">
        <f>IF(D489&gt;1/1/2001,B488+1," ")</f>
        <v/>
      </c>
      <c r="C489" s="59">
        <f>IF(B489&lt;&gt;" ",CONCATENATE(A489,B489)," ")</f>
        <v/>
      </c>
      <c r="D489" s="69" t="n"/>
      <c r="E489" s="72" t="n"/>
      <c r="F489" s="72" t="n"/>
      <c r="G489" s="72" t="n"/>
      <c r="H489" s="72" t="n"/>
      <c r="I489" s="72" t="n"/>
      <c r="J489" s="71" t="n"/>
      <c r="K489" s="73" t="n"/>
    </row>
    <row r="490">
      <c r="A490" s="62" t="inlineStr">
        <is>
          <t>P</t>
        </is>
      </c>
      <c r="B490" s="60">
        <f>IF(D490&gt;1/1/2001,B489+1," ")</f>
        <v/>
      </c>
      <c r="C490" s="59">
        <f>IF(B490&lt;&gt;" ",CONCATENATE(A490,B490)," ")</f>
        <v/>
      </c>
      <c r="D490" s="69" t="n"/>
      <c r="E490" s="72" t="n"/>
      <c r="F490" s="72" t="n"/>
      <c r="G490" s="72" t="n"/>
      <c r="H490" s="72" t="n"/>
      <c r="I490" s="72" t="n"/>
      <c r="J490" s="71" t="n"/>
      <c r="K490" s="73" t="n"/>
    </row>
    <row r="491">
      <c r="A491" s="62" t="inlineStr">
        <is>
          <t>P</t>
        </is>
      </c>
      <c r="B491" s="60">
        <f>IF(D491&gt;1/1/2001,B490+1," ")</f>
        <v/>
      </c>
      <c r="C491" s="59">
        <f>IF(B491&lt;&gt;" ",CONCATENATE(A491,B491)," ")</f>
        <v/>
      </c>
      <c r="D491" s="69" t="n"/>
      <c r="E491" s="72" t="n"/>
      <c r="F491" s="72" t="n"/>
      <c r="G491" s="72" t="n"/>
      <c r="H491" s="72" t="n"/>
      <c r="I491" s="72" t="n"/>
      <c r="J491" s="71" t="n"/>
      <c r="K491" s="73" t="n"/>
    </row>
    <row r="492">
      <c r="A492" s="62" t="inlineStr">
        <is>
          <t>P</t>
        </is>
      </c>
      <c r="B492" s="60">
        <f>IF(D492&gt;1/1/2001,B491+1," ")</f>
        <v/>
      </c>
      <c r="C492" s="59">
        <f>IF(B492&lt;&gt;" ",CONCATENATE(A492,B492)," ")</f>
        <v/>
      </c>
      <c r="D492" s="69" t="n"/>
      <c r="E492" s="72" t="n"/>
      <c r="F492" s="72" t="n"/>
      <c r="G492" s="72" t="n"/>
      <c r="H492" s="72" t="n"/>
      <c r="I492" s="72" t="n"/>
      <c r="J492" s="71" t="n"/>
      <c r="K492" s="73" t="n"/>
    </row>
    <row r="493">
      <c r="A493" s="62" t="inlineStr">
        <is>
          <t>P</t>
        </is>
      </c>
      <c r="B493" s="60">
        <f>IF(D493&gt;1/1/2001,B492+1," ")</f>
        <v/>
      </c>
      <c r="C493" s="59">
        <f>IF(B493&lt;&gt;" ",CONCATENATE(A493,B493)," ")</f>
        <v/>
      </c>
      <c r="D493" s="69" t="n"/>
      <c r="E493" s="72" t="n"/>
      <c r="F493" s="72" t="n"/>
      <c r="G493" s="72" t="n"/>
      <c r="H493" s="72" t="n"/>
      <c r="I493" s="72" t="n"/>
      <c r="J493" s="71" t="n"/>
      <c r="K493" s="73" t="n"/>
    </row>
    <row r="494">
      <c r="A494" s="62" t="inlineStr">
        <is>
          <t>P</t>
        </is>
      </c>
      <c r="B494" s="60">
        <f>IF(D494&gt;1/1/2001,B493+1," ")</f>
        <v/>
      </c>
      <c r="C494" s="59">
        <f>IF(B494&lt;&gt;" ",CONCATENATE(A494,B494)," ")</f>
        <v/>
      </c>
      <c r="D494" s="69" t="n"/>
      <c r="E494" s="72" t="n"/>
      <c r="F494" s="72" t="n"/>
      <c r="G494" s="72" t="n"/>
      <c r="H494" s="72" t="n"/>
      <c r="I494" s="72" t="n"/>
      <c r="J494" s="71" t="n"/>
      <c r="K494" s="73" t="n"/>
    </row>
    <row r="495">
      <c r="A495" s="62" t="inlineStr">
        <is>
          <t>P</t>
        </is>
      </c>
      <c r="B495" s="60">
        <f>IF(D495&gt;1/1/2001,B494+1," ")</f>
        <v/>
      </c>
      <c r="C495" s="59">
        <f>IF(B495&lt;&gt;" ",CONCATENATE(A495,B495)," ")</f>
        <v/>
      </c>
      <c r="D495" s="69" t="n"/>
      <c r="E495" s="72" t="n"/>
      <c r="F495" s="72" t="n"/>
      <c r="G495" s="72" t="n"/>
      <c r="H495" s="72" t="n"/>
      <c r="I495" s="72" t="n"/>
      <c r="J495" s="71" t="n"/>
      <c r="K495" s="73" t="n"/>
    </row>
    <row r="496">
      <c r="A496" s="62" t="inlineStr">
        <is>
          <t>P</t>
        </is>
      </c>
      <c r="B496" s="60">
        <f>IF(D496&gt;1/1/2001,B495+1," ")</f>
        <v/>
      </c>
      <c r="C496" s="59">
        <f>IF(B496&lt;&gt;" ",CONCATENATE(A496,B496)," ")</f>
        <v/>
      </c>
      <c r="D496" s="69" t="n"/>
      <c r="E496" s="72" t="n"/>
      <c r="F496" s="72" t="n"/>
      <c r="G496" s="72" t="n"/>
      <c r="H496" s="72" t="n"/>
      <c r="I496" s="72" t="n"/>
      <c r="J496" s="71" t="n"/>
      <c r="K496" s="73" t="n"/>
    </row>
    <row r="497">
      <c r="A497" s="62" t="inlineStr">
        <is>
          <t>P</t>
        </is>
      </c>
      <c r="B497" s="60">
        <f>IF(D497&gt;1/1/2001,B496+1," ")</f>
        <v/>
      </c>
      <c r="C497" s="59">
        <f>IF(B497&lt;&gt;" ",CONCATENATE(A497,B497)," ")</f>
        <v/>
      </c>
      <c r="D497" s="69" t="n"/>
      <c r="E497" s="72" t="n"/>
      <c r="F497" s="72" t="n"/>
      <c r="G497" s="72" t="n"/>
      <c r="H497" s="72" t="n"/>
      <c r="I497" s="72" t="n"/>
      <c r="J497" s="71" t="n"/>
      <c r="K497" s="73" t="n"/>
    </row>
    <row r="498">
      <c r="A498" s="62" t="inlineStr">
        <is>
          <t>P</t>
        </is>
      </c>
      <c r="B498" s="60">
        <f>IF(D498&gt;1/1/2001,B497+1," ")</f>
        <v/>
      </c>
      <c r="C498" s="59">
        <f>IF(B498&lt;&gt;" ",CONCATENATE(A498,B498)," ")</f>
        <v/>
      </c>
      <c r="D498" s="69" t="n"/>
      <c r="E498" s="72" t="n"/>
      <c r="F498" s="72" t="n"/>
      <c r="G498" s="72" t="n"/>
      <c r="H498" s="72" t="n"/>
      <c r="I498" s="72" t="n"/>
      <c r="J498" s="71" t="n"/>
      <c r="K498" s="73" t="n"/>
    </row>
    <row r="499">
      <c r="A499" s="62" t="inlineStr">
        <is>
          <t>P</t>
        </is>
      </c>
      <c r="B499" s="60">
        <f>IF(D499&gt;1/1/2001,B498+1," ")</f>
        <v/>
      </c>
      <c r="C499" s="59">
        <f>IF(B499&lt;&gt;" ",CONCATENATE(A499,B499)," ")</f>
        <v/>
      </c>
      <c r="D499" s="69" t="n"/>
      <c r="E499" s="72" t="n"/>
      <c r="F499" s="72" t="n"/>
      <c r="G499" s="72" t="n"/>
      <c r="H499" s="72" t="n"/>
      <c r="I499" s="72" t="n"/>
      <c r="J499" s="71" t="n"/>
      <c r="K499" s="73" t="n"/>
    </row>
    <row r="500">
      <c r="A500" s="62" t="inlineStr">
        <is>
          <t>P</t>
        </is>
      </c>
      <c r="B500" s="60">
        <f>IF(D500&gt;1/1/2001,B499+1," ")</f>
        <v/>
      </c>
      <c r="C500" s="59">
        <f>IF(B500&lt;&gt;" ",CONCATENATE(A500,B500)," ")</f>
        <v/>
      </c>
      <c r="D500" s="69" t="n"/>
      <c r="E500" s="72" t="n"/>
      <c r="F500" s="72" t="n"/>
      <c r="G500" s="72" t="n"/>
      <c r="H500" s="72" t="n"/>
      <c r="I500" s="72" t="n"/>
      <c r="J500" s="71" t="n"/>
      <c r="K500" s="73" t="n"/>
    </row>
    <row r="501">
      <c r="A501" s="62" t="inlineStr">
        <is>
          <t>P</t>
        </is>
      </c>
      <c r="B501" s="60">
        <f>IF(D501&gt;1/1/2001,B500+1," ")</f>
        <v/>
      </c>
      <c r="C501" s="59">
        <f>IF(B501&lt;&gt;" ",CONCATENATE(A501,B501)," ")</f>
        <v/>
      </c>
      <c r="D501" s="69" t="n"/>
      <c r="E501" s="72" t="n"/>
      <c r="F501" s="72" t="n"/>
      <c r="G501" s="72" t="n"/>
      <c r="H501" s="72" t="n"/>
      <c r="I501" s="72" t="n"/>
      <c r="J501" s="71" t="n"/>
      <c r="K501" s="73" t="n"/>
    </row>
    <row r="502">
      <c r="A502" s="62" t="inlineStr">
        <is>
          <t>P</t>
        </is>
      </c>
      <c r="B502" s="60">
        <f>IF(D502&gt;1/1/2001,B501+1," ")</f>
        <v/>
      </c>
      <c r="C502" s="59">
        <f>IF(B502&lt;&gt;" ",CONCATENATE(A502,B502)," ")</f>
        <v/>
      </c>
      <c r="D502" s="69" t="n"/>
      <c r="E502" s="72" t="n"/>
      <c r="F502" s="72" t="n"/>
      <c r="G502" s="72" t="n"/>
      <c r="H502" s="72" t="n"/>
      <c r="I502" s="72" t="n"/>
      <c r="J502" s="71" t="n"/>
      <c r="K502" s="73" t="n"/>
    </row>
    <row r="503">
      <c r="A503" s="62" t="inlineStr">
        <is>
          <t>P</t>
        </is>
      </c>
      <c r="B503" s="60">
        <f>IF(D503&gt;1/1/2001,B502+1," ")</f>
        <v/>
      </c>
      <c r="C503" s="59">
        <f>IF(B503&lt;&gt;" ",CONCATENATE(A503,B503)," ")</f>
        <v/>
      </c>
      <c r="D503" s="69" t="n"/>
      <c r="E503" s="72" t="n"/>
      <c r="F503" s="72" t="n"/>
      <c r="G503" s="72" t="n"/>
      <c r="H503" s="72" t="n"/>
      <c r="I503" s="72" t="n"/>
      <c r="J503" s="71" t="n"/>
      <c r="K503" s="73" t="n"/>
    </row>
    <row r="504">
      <c r="A504" s="62" t="inlineStr">
        <is>
          <t>P</t>
        </is>
      </c>
      <c r="B504" s="60">
        <f>IF(D504&gt;1/1/2001,B503+1," ")</f>
        <v/>
      </c>
      <c r="C504" s="59">
        <f>IF(B504&lt;&gt;" ",CONCATENATE(A504,B504)," ")</f>
        <v/>
      </c>
      <c r="D504" s="69" t="n"/>
      <c r="E504" s="72" t="n"/>
      <c r="F504" s="72" t="n"/>
      <c r="G504" s="72" t="n"/>
      <c r="H504" s="72" t="n"/>
      <c r="I504" s="72" t="n"/>
      <c r="J504" s="71" t="n"/>
      <c r="K504" s="73" t="n"/>
    </row>
    <row r="505">
      <c r="A505" s="62" t="inlineStr">
        <is>
          <t>P</t>
        </is>
      </c>
      <c r="B505" s="60">
        <f>IF(D505&gt;1/1/2001,B504+1," ")</f>
        <v/>
      </c>
      <c r="C505" s="59">
        <f>IF(B505&lt;&gt;" ",CONCATENATE(A505,B505)," ")</f>
        <v/>
      </c>
      <c r="D505" s="69" t="n"/>
      <c r="E505" s="72" t="n"/>
      <c r="F505" s="72" t="n"/>
      <c r="G505" s="72" t="n"/>
      <c r="H505" s="72" t="n"/>
      <c r="I505" s="72" t="n"/>
      <c r="J505" s="71" t="n"/>
      <c r="K505" s="73" t="n"/>
    </row>
    <row r="506">
      <c r="A506" s="62" t="inlineStr">
        <is>
          <t>P</t>
        </is>
      </c>
      <c r="B506" s="60">
        <f>IF(D506&gt;1/1/2001,B505+1," ")</f>
        <v/>
      </c>
      <c r="C506" s="59">
        <f>IF(B506&lt;&gt;" ",CONCATENATE(A506,B506)," ")</f>
        <v/>
      </c>
      <c r="D506" s="69" t="n"/>
      <c r="E506" s="72" t="n"/>
      <c r="F506" s="72" t="n"/>
      <c r="G506" s="72" t="n"/>
      <c r="H506" s="72" t="n"/>
      <c r="I506" s="72" t="n"/>
      <c r="J506" s="71" t="n"/>
      <c r="K506" s="73" t="n"/>
    </row>
    <row r="507">
      <c r="A507" s="62" t="inlineStr">
        <is>
          <t>P</t>
        </is>
      </c>
      <c r="B507" s="60">
        <f>IF(D507&gt;1/1/2001,B506+1," ")</f>
        <v/>
      </c>
      <c r="C507" s="59">
        <f>IF(B507&lt;&gt;" ",CONCATENATE(A507,B507)," ")</f>
        <v/>
      </c>
      <c r="D507" s="69" t="n"/>
      <c r="E507" s="72" t="n"/>
      <c r="F507" s="72" t="n"/>
      <c r="G507" s="72" t="n"/>
      <c r="H507" s="72" t="n"/>
      <c r="I507" s="72" t="n"/>
      <c r="J507" s="71" t="n"/>
      <c r="K507" s="73" t="n"/>
    </row>
    <row r="508">
      <c r="A508" s="62" t="inlineStr">
        <is>
          <t>P</t>
        </is>
      </c>
      <c r="B508" s="60">
        <f>IF(D508&gt;1/1/2001,B507+1," ")</f>
        <v/>
      </c>
      <c r="C508" s="59">
        <f>IF(B508&lt;&gt;" ",CONCATENATE(A508,B508)," ")</f>
        <v/>
      </c>
      <c r="D508" s="69" t="n"/>
      <c r="E508" s="72" t="n"/>
      <c r="F508" s="72" t="n"/>
      <c r="G508" s="72" t="n"/>
      <c r="H508" s="72" t="n"/>
      <c r="I508" s="72" t="n"/>
      <c r="J508" s="71" t="n"/>
      <c r="K508" s="73" t="n"/>
    </row>
    <row r="509">
      <c r="A509" s="62" t="inlineStr">
        <is>
          <t>P</t>
        </is>
      </c>
      <c r="B509" s="60">
        <f>IF(D509&gt;1/1/2001,B508+1," ")</f>
        <v/>
      </c>
      <c r="C509" s="59">
        <f>IF(B509&lt;&gt;" ",CONCATENATE(A509,B509)," ")</f>
        <v/>
      </c>
      <c r="D509" s="69" t="n"/>
      <c r="E509" s="72" t="n"/>
      <c r="F509" s="72" t="n"/>
      <c r="G509" s="72" t="n"/>
      <c r="H509" s="72" t="n"/>
      <c r="I509" s="72" t="n"/>
      <c r="J509" s="71" t="n"/>
      <c r="K509" s="73" t="n"/>
    </row>
    <row r="510">
      <c r="A510" s="62" t="inlineStr">
        <is>
          <t>P</t>
        </is>
      </c>
      <c r="B510" s="60">
        <f>IF(D510&gt;1/1/2001,B509+1," ")</f>
        <v/>
      </c>
      <c r="C510" s="59">
        <f>IF(B510&lt;&gt;" ",CONCATENATE(A510,B510)," ")</f>
        <v/>
      </c>
      <c r="D510" s="69" t="n"/>
      <c r="E510" s="72" t="n"/>
      <c r="F510" s="72" t="n"/>
      <c r="G510" s="72" t="n"/>
      <c r="H510" s="72" t="n"/>
      <c r="I510" s="72" t="n"/>
      <c r="J510" s="71" t="n"/>
      <c r="K510" s="73" t="n"/>
    </row>
    <row r="511">
      <c r="A511" s="62" t="inlineStr">
        <is>
          <t>P</t>
        </is>
      </c>
      <c r="B511" s="60">
        <f>IF(D511&gt;1/1/2001,B510+1," ")</f>
        <v/>
      </c>
      <c r="C511" s="59">
        <f>IF(B511&lt;&gt;" ",CONCATENATE(A511,B511)," ")</f>
        <v/>
      </c>
      <c r="D511" s="69" t="n"/>
      <c r="E511" s="72" t="n"/>
      <c r="F511" s="72" t="n"/>
      <c r="G511" s="72" t="n"/>
      <c r="H511" s="72" t="n"/>
      <c r="I511" s="72" t="n"/>
      <c r="J511" s="71" t="n"/>
      <c r="K511" s="73" t="n"/>
    </row>
    <row r="512">
      <c r="A512" s="62" t="inlineStr">
        <is>
          <t>P</t>
        </is>
      </c>
      <c r="B512" s="60">
        <f>IF(D512&gt;1/1/2001,B511+1," ")</f>
        <v/>
      </c>
      <c r="C512" s="59">
        <f>IF(B512&lt;&gt;" ",CONCATENATE(A512,B512)," ")</f>
        <v/>
      </c>
      <c r="D512" s="69" t="n"/>
      <c r="E512" s="72" t="n"/>
      <c r="F512" s="72" t="n"/>
      <c r="G512" s="72" t="n"/>
      <c r="H512" s="72" t="n"/>
      <c r="I512" s="72" t="n"/>
      <c r="J512" s="71" t="n"/>
      <c r="K512" s="73" t="n"/>
    </row>
    <row r="513">
      <c r="A513" s="62" t="inlineStr">
        <is>
          <t>P</t>
        </is>
      </c>
      <c r="B513" s="60">
        <f>IF(D513&gt;1/1/2001,B512+1," ")</f>
        <v/>
      </c>
      <c r="C513" s="59">
        <f>IF(B513&lt;&gt;" ",CONCATENATE(A513,B513)," ")</f>
        <v/>
      </c>
      <c r="D513" s="69" t="n"/>
      <c r="E513" s="72" t="n"/>
      <c r="F513" s="72" t="n"/>
      <c r="G513" s="72" t="n"/>
      <c r="H513" s="72" t="n"/>
      <c r="I513" s="72" t="n"/>
      <c r="J513" s="71" t="n"/>
      <c r="K513" s="73" t="n"/>
    </row>
    <row r="514">
      <c r="A514" s="62" t="inlineStr">
        <is>
          <t>P</t>
        </is>
      </c>
      <c r="B514" s="60">
        <f>IF(D514&gt;1/1/2001,B513+1," ")</f>
        <v/>
      </c>
      <c r="C514" s="59">
        <f>IF(B514&lt;&gt;" ",CONCATENATE(A514,B514)," ")</f>
        <v/>
      </c>
      <c r="D514" s="69" t="n"/>
      <c r="E514" s="72" t="n"/>
      <c r="F514" s="72" t="n"/>
      <c r="G514" s="72" t="n"/>
      <c r="H514" s="72" t="n"/>
      <c r="I514" s="72" t="n"/>
      <c r="J514" s="71" t="n"/>
      <c r="K514" s="73" t="n"/>
    </row>
    <row r="515">
      <c r="A515" s="62" t="inlineStr">
        <is>
          <t>P</t>
        </is>
      </c>
      <c r="B515" s="60">
        <f>IF(D515&gt;1/1/2001,B514+1," ")</f>
        <v/>
      </c>
      <c r="C515" s="59">
        <f>IF(B515&lt;&gt;" ",CONCATENATE(A515,B515)," ")</f>
        <v/>
      </c>
      <c r="D515" s="69" t="n"/>
      <c r="E515" s="72" t="n"/>
      <c r="F515" s="72" t="n"/>
      <c r="G515" s="72" t="n"/>
      <c r="H515" s="72" t="n"/>
      <c r="I515" s="72" t="n"/>
      <c r="J515" s="71" t="n"/>
      <c r="K515" s="73" t="n"/>
    </row>
    <row r="516">
      <c r="A516" s="62" t="inlineStr">
        <is>
          <t>P</t>
        </is>
      </c>
      <c r="B516" s="60">
        <f>IF(D516&gt;1/1/2001,B515+1," ")</f>
        <v/>
      </c>
      <c r="C516" s="59">
        <f>IF(B516&lt;&gt;" ",CONCATENATE(A516,B516)," ")</f>
        <v/>
      </c>
      <c r="D516" s="69" t="n"/>
      <c r="E516" s="72" t="n"/>
      <c r="F516" s="72" t="n"/>
      <c r="G516" s="72" t="n"/>
      <c r="H516" s="72" t="n"/>
      <c r="I516" s="72" t="n"/>
      <c r="J516" s="71" t="n"/>
      <c r="K516" s="73" t="n"/>
    </row>
    <row r="517">
      <c r="A517" s="62" t="inlineStr">
        <is>
          <t>P</t>
        </is>
      </c>
      <c r="B517" s="60">
        <f>IF(D517&gt;1/1/2001,B516+1," ")</f>
        <v/>
      </c>
      <c r="C517" s="59">
        <f>IF(B517&lt;&gt;" ",CONCATENATE(A517,B517)," ")</f>
        <v/>
      </c>
      <c r="D517" s="69" t="n"/>
      <c r="E517" s="72" t="n"/>
      <c r="F517" s="72" t="n"/>
      <c r="G517" s="72" t="n"/>
      <c r="H517" s="72" t="n"/>
      <c r="I517" s="72" t="n"/>
      <c r="J517" s="71" t="n"/>
      <c r="K517" s="73" t="n"/>
    </row>
    <row r="518">
      <c r="A518" s="62" t="inlineStr">
        <is>
          <t>P</t>
        </is>
      </c>
      <c r="B518" s="60">
        <f>IF(D518&gt;1/1/2001,B517+1," ")</f>
        <v/>
      </c>
      <c r="C518" s="59">
        <f>IF(B518&lt;&gt;" ",CONCATENATE(A518,B518)," ")</f>
        <v/>
      </c>
      <c r="D518" s="69" t="n"/>
      <c r="E518" s="72" t="n"/>
      <c r="F518" s="72" t="n"/>
      <c r="G518" s="72" t="n"/>
      <c r="H518" s="72" t="n"/>
      <c r="I518" s="72" t="n"/>
      <c r="J518" s="71" t="n"/>
      <c r="K518" s="73" t="n"/>
    </row>
    <row r="519">
      <c r="A519" s="62" t="inlineStr">
        <is>
          <t>P</t>
        </is>
      </c>
      <c r="B519" s="60">
        <f>IF(D519&gt;1/1/2001,B518+1," ")</f>
        <v/>
      </c>
      <c r="C519" s="59">
        <f>IF(B519&lt;&gt;" ",CONCATENATE(A519,B519)," ")</f>
        <v/>
      </c>
      <c r="D519" s="69" t="n"/>
      <c r="E519" s="72" t="n"/>
      <c r="F519" s="72" t="n"/>
      <c r="G519" s="72" t="n"/>
      <c r="H519" s="72" t="n"/>
      <c r="I519" s="72" t="n"/>
      <c r="J519" s="71" t="n"/>
      <c r="K519" s="73" t="n"/>
    </row>
    <row r="520">
      <c r="A520" s="62" t="inlineStr">
        <is>
          <t>P</t>
        </is>
      </c>
      <c r="B520" s="60">
        <f>IF(D520&gt;1/1/2001,B519+1," ")</f>
        <v/>
      </c>
      <c r="C520" s="59">
        <f>IF(B520&lt;&gt;" ",CONCATENATE(A520,B520)," ")</f>
        <v/>
      </c>
      <c r="D520" s="69" t="n"/>
      <c r="E520" s="72" t="n"/>
      <c r="F520" s="72" t="n"/>
      <c r="G520" s="72" t="n"/>
      <c r="H520" s="72" t="n"/>
      <c r="I520" s="72" t="n"/>
      <c r="J520" s="71" t="n"/>
      <c r="K520" s="73" t="n"/>
    </row>
    <row r="521">
      <c r="A521" s="62" t="inlineStr">
        <is>
          <t>P</t>
        </is>
      </c>
      <c r="B521" s="60">
        <f>IF(D521&gt;1/1/2001,B520+1," ")</f>
        <v/>
      </c>
      <c r="C521" s="59">
        <f>IF(B521&lt;&gt;" ",CONCATENATE(A521,B521)," ")</f>
        <v/>
      </c>
      <c r="D521" s="69" t="n"/>
      <c r="E521" s="72" t="n"/>
      <c r="F521" s="72" t="n"/>
      <c r="G521" s="72" t="n"/>
      <c r="H521" s="72" t="n"/>
      <c r="I521" s="72" t="n"/>
      <c r="J521" s="71" t="n"/>
      <c r="K521" s="73" t="n"/>
    </row>
    <row r="522">
      <c r="A522" s="62" t="inlineStr">
        <is>
          <t>P</t>
        </is>
      </c>
      <c r="B522" s="60">
        <f>IF(D522&gt;1/1/2001,B521+1," ")</f>
        <v/>
      </c>
      <c r="C522" s="59">
        <f>IF(B522&lt;&gt;" ",CONCATENATE(A522,B522)," ")</f>
        <v/>
      </c>
      <c r="D522" s="69" t="n"/>
      <c r="E522" s="72" t="n"/>
      <c r="F522" s="72" t="n"/>
      <c r="G522" s="72" t="n"/>
      <c r="H522" s="72" t="n"/>
      <c r="I522" s="72" t="n"/>
      <c r="J522" s="71" t="n"/>
      <c r="K522" s="73" t="n"/>
    </row>
    <row r="523">
      <c r="A523" s="62" t="inlineStr">
        <is>
          <t>P</t>
        </is>
      </c>
      <c r="B523" s="60">
        <f>IF(D523&gt;1/1/2001,B522+1," ")</f>
        <v/>
      </c>
      <c r="C523" s="59">
        <f>IF(B523&lt;&gt;" ",CONCATENATE(A523,B523)," ")</f>
        <v/>
      </c>
      <c r="D523" s="69" t="n"/>
      <c r="E523" s="72" t="n"/>
      <c r="F523" s="72" t="n"/>
      <c r="G523" s="72" t="n"/>
      <c r="H523" s="72" t="n"/>
      <c r="I523" s="72" t="n"/>
      <c r="J523" s="71" t="n"/>
      <c r="K523" s="73" t="n"/>
    </row>
    <row r="524">
      <c r="A524" s="62" t="inlineStr">
        <is>
          <t>P</t>
        </is>
      </c>
      <c r="B524" s="60">
        <f>IF(D524&gt;1/1/2001,B523+1," ")</f>
        <v/>
      </c>
      <c r="C524" s="59">
        <f>IF(B524&lt;&gt;" ",CONCATENATE(A524,B524)," ")</f>
        <v/>
      </c>
      <c r="D524" s="69" t="n"/>
      <c r="E524" s="72" t="n"/>
      <c r="F524" s="72" t="n"/>
      <c r="G524" s="72" t="n"/>
      <c r="H524" s="72" t="n"/>
      <c r="I524" s="72" t="n"/>
      <c r="J524" s="71" t="n"/>
      <c r="K524" s="73" t="n"/>
    </row>
    <row r="525">
      <c r="A525" s="62" t="inlineStr">
        <is>
          <t>P</t>
        </is>
      </c>
      <c r="B525" s="60">
        <f>IF(D525&gt;1/1/2001,B524+1," ")</f>
        <v/>
      </c>
      <c r="C525" s="59">
        <f>IF(B525&lt;&gt;" ",CONCATENATE(A525,B525)," ")</f>
        <v/>
      </c>
      <c r="D525" s="69" t="n"/>
      <c r="E525" s="72" t="n"/>
      <c r="F525" s="72" t="n"/>
      <c r="G525" s="72" t="n"/>
      <c r="H525" s="72" t="n"/>
      <c r="I525" s="72" t="n"/>
      <c r="J525" s="71" t="n"/>
      <c r="K525" s="73" t="n"/>
    </row>
    <row r="526">
      <c r="A526" s="62" t="inlineStr">
        <is>
          <t>P</t>
        </is>
      </c>
      <c r="B526" s="60">
        <f>IF(D526&gt;1/1/2001,B525+1," ")</f>
        <v/>
      </c>
      <c r="C526" s="59">
        <f>IF(B526&lt;&gt;" ",CONCATENATE(A526,B526)," ")</f>
        <v/>
      </c>
      <c r="D526" s="69" t="n"/>
      <c r="E526" s="72" t="n"/>
      <c r="F526" s="72" t="n"/>
      <c r="G526" s="72" t="n"/>
      <c r="H526" s="72" t="n"/>
      <c r="I526" s="72" t="n"/>
      <c r="J526" s="71" t="n"/>
      <c r="K526" s="73" t="n"/>
    </row>
    <row r="527">
      <c r="A527" s="62" t="inlineStr">
        <is>
          <t>P</t>
        </is>
      </c>
      <c r="B527" s="60">
        <f>IF(D527&gt;1/1/2001,B526+1," ")</f>
        <v/>
      </c>
      <c r="C527" s="59">
        <f>IF(B527&lt;&gt;" ",CONCATENATE(A527,B527)," ")</f>
        <v/>
      </c>
      <c r="D527" s="69" t="n"/>
      <c r="E527" s="72" t="n"/>
      <c r="F527" s="72" t="n"/>
      <c r="G527" s="72" t="n"/>
      <c r="H527" s="72" t="n"/>
      <c r="I527" s="72" t="n"/>
      <c r="J527" s="71" t="n"/>
      <c r="K527" s="73" t="n"/>
    </row>
    <row r="528">
      <c r="A528" s="62" t="inlineStr">
        <is>
          <t>P</t>
        </is>
      </c>
      <c r="B528" s="60">
        <f>IF(D528&gt;1/1/2001,B527+1," ")</f>
        <v/>
      </c>
      <c r="C528" s="59">
        <f>IF(B528&lt;&gt;" ",CONCATENATE(A528,B528)," ")</f>
        <v/>
      </c>
      <c r="D528" s="69" t="n"/>
      <c r="E528" s="72" t="n"/>
      <c r="F528" s="72" t="n"/>
      <c r="G528" s="72" t="n"/>
      <c r="H528" s="72" t="n"/>
      <c r="I528" s="72" t="n"/>
      <c r="J528" s="71" t="n"/>
      <c r="K528" s="73" t="n"/>
    </row>
    <row r="529">
      <c r="A529" s="62" t="inlineStr">
        <is>
          <t>P</t>
        </is>
      </c>
      <c r="B529" s="60">
        <f>IF(D529&gt;1/1/2001,B528+1," ")</f>
        <v/>
      </c>
      <c r="C529" s="59">
        <f>IF(B529&lt;&gt;" ",CONCATENATE(A529,B529)," ")</f>
        <v/>
      </c>
      <c r="D529" s="69" t="n"/>
      <c r="E529" s="72" t="n"/>
      <c r="F529" s="72" t="n"/>
      <c r="G529" s="72" t="n"/>
      <c r="H529" s="72" t="n"/>
      <c r="I529" s="72" t="n"/>
      <c r="J529" s="71" t="n"/>
      <c r="K529" s="73" t="n"/>
    </row>
    <row r="530">
      <c r="A530" s="62" t="inlineStr">
        <is>
          <t>P</t>
        </is>
      </c>
      <c r="B530" s="60">
        <f>IF(D530&gt;1/1/2001,B529+1," ")</f>
        <v/>
      </c>
      <c r="C530" s="59">
        <f>IF(B530&lt;&gt;" ",CONCATENATE(A530,B530)," ")</f>
        <v/>
      </c>
      <c r="D530" s="69" t="n"/>
      <c r="E530" s="72" t="n"/>
      <c r="F530" s="72" t="n"/>
      <c r="G530" s="72" t="n"/>
      <c r="H530" s="72" t="n"/>
      <c r="I530" s="72" t="n"/>
      <c r="J530" s="71" t="n"/>
      <c r="K530" s="73" t="n"/>
    </row>
    <row r="531">
      <c r="A531" s="62" t="inlineStr">
        <is>
          <t>P</t>
        </is>
      </c>
      <c r="B531" s="60">
        <f>IF(D531&gt;1/1/2001,B530+1," ")</f>
        <v/>
      </c>
      <c r="C531" s="59">
        <f>IF(B531&lt;&gt;" ",CONCATENATE(A531,B531)," ")</f>
        <v/>
      </c>
      <c r="D531" s="69" t="n"/>
      <c r="E531" s="72" t="n"/>
      <c r="F531" s="72" t="n"/>
      <c r="G531" s="72" t="n"/>
      <c r="H531" s="72" t="n"/>
      <c r="I531" s="72" t="n"/>
      <c r="J531" s="71" t="n"/>
      <c r="K531" s="73" t="n"/>
    </row>
    <row r="532">
      <c r="A532" s="62" t="inlineStr">
        <is>
          <t>P</t>
        </is>
      </c>
      <c r="B532" s="60">
        <f>IF(D532&gt;1/1/2001,B531+1," ")</f>
        <v/>
      </c>
      <c r="C532" s="59">
        <f>IF(B532&lt;&gt;" ",CONCATENATE(A532,B532)," ")</f>
        <v/>
      </c>
      <c r="D532" s="69" t="n"/>
      <c r="E532" s="72" t="n"/>
      <c r="F532" s="72" t="n"/>
      <c r="G532" s="72" t="n"/>
      <c r="H532" s="72" t="n"/>
      <c r="I532" s="72" t="n"/>
      <c r="J532" s="71" t="n"/>
      <c r="K532" s="73" t="n"/>
    </row>
    <row r="533">
      <c r="A533" s="62" t="inlineStr">
        <is>
          <t>P</t>
        </is>
      </c>
      <c r="B533" s="60">
        <f>IF(D533&gt;1/1/2001,B532+1," ")</f>
        <v/>
      </c>
      <c r="C533" s="59">
        <f>IF(B533&lt;&gt;" ",CONCATENATE(A533,B533)," ")</f>
        <v/>
      </c>
      <c r="D533" s="69" t="n"/>
      <c r="E533" s="72" t="n"/>
      <c r="F533" s="72" t="n"/>
      <c r="G533" s="72" t="n"/>
      <c r="H533" s="72" t="n"/>
      <c r="I533" s="72" t="n"/>
      <c r="J533" s="71" t="n"/>
      <c r="K533" s="73" t="n"/>
    </row>
    <row r="534">
      <c r="A534" s="62" t="inlineStr">
        <is>
          <t>P</t>
        </is>
      </c>
      <c r="B534" s="60">
        <f>IF(D534&gt;1/1/2001,B533+1," ")</f>
        <v/>
      </c>
      <c r="C534" s="59">
        <f>IF(B534&lt;&gt;" ",CONCATENATE(A534,B534)," ")</f>
        <v/>
      </c>
      <c r="D534" s="69" t="n"/>
      <c r="E534" s="72" t="n"/>
      <c r="F534" s="72" t="n"/>
      <c r="G534" s="72" t="n"/>
      <c r="H534" s="72" t="n"/>
      <c r="I534" s="72" t="n"/>
      <c r="J534" s="71" t="n"/>
      <c r="K534" s="73" t="n"/>
    </row>
    <row r="535">
      <c r="A535" s="62" t="inlineStr">
        <is>
          <t>P</t>
        </is>
      </c>
      <c r="B535" s="60">
        <f>IF(D535&gt;1/1/2001,B534+1," ")</f>
        <v/>
      </c>
      <c r="C535" s="59">
        <f>IF(B535&lt;&gt;" ",CONCATENATE(A535,B535)," ")</f>
        <v/>
      </c>
      <c r="D535" s="69" t="n"/>
      <c r="E535" s="72" t="n"/>
      <c r="F535" s="72" t="n"/>
      <c r="G535" s="72" t="n"/>
      <c r="H535" s="72" t="n"/>
      <c r="I535" s="72" t="n"/>
      <c r="J535" s="71" t="n"/>
      <c r="K535" s="73" t="n"/>
    </row>
    <row r="536">
      <c r="A536" s="62" t="inlineStr">
        <is>
          <t>P</t>
        </is>
      </c>
      <c r="B536" s="60">
        <f>IF(D536&gt;1/1/2001,B535+1," ")</f>
        <v/>
      </c>
      <c r="C536" s="59">
        <f>IF(B536&lt;&gt;" ",CONCATENATE(A536,B536)," ")</f>
        <v/>
      </c>
      <c r="D536" s="69" t="n"/>
      <c r="E536" s="72" t="n"/>
      <c r="F536" s="72" t="n"/>
      <c r="G536" s="72" t="n"/>
      <c r="H536" s="72" t="n"/>
      <c r="I536" s="72" t="n"/>
      <c r="J536" s="71" t="n"/>
      <c r="K536" s="73" t="n"/>
    </row>
    <row r="537">
      <c r="A537" s="62" t="inlineStr">
        <is>
          <t>P</t>
        </is>
      </c>
      <c r="B537" s="60">
        <f>IF(D537&gt;1/1/2001,B536+1," ")</f>
        <v/>
      </c>
      <c r="C537" s="59">
        <f>IF(B537&lt;&gt;" ",CONCATENATE(A537,B537)," ")</f>
        <v/>
      </c>
      <c r="D537" s="69" t="n"/>
      <c r="E537" s="72" t="n"/>
      <c r="F537" s="72" t="n"/>
      <c r="G537" s="72" t="n"/>
      <c r="H537" s="72" t="n"/>
      <c r="I537" s="72" t="n"/>
      <c r="J537" s="71" t="n"/>
      <c r="K537" s="73" t="n"/>
    </row>
    <row r="538">
      <c r="A538" s="62" t="inlineStr">
        <is>
          <t>P</t>
        </is>
      </c>
      <c r="B538" s="60">
        <f>IF(D538&gt;1/1/2001,B537+1," ")</f>
        <v/>
      </c>
      <c r="C538" s="59">
        <f>IF(B538&lt;&gt;" ",CONCATENATE(A538,B538)," ")</f>
        <v/>
      </c>
      <c r="D538" s="69" t="n"/>
      <c r="E538" s="72" t="n"/>
      <c r="F538" s="72" t="n"/>
      <c r="G538" s="72" t="n"/>
      <c r="H538" s="72" t="n"/>
      <c r="I538" s="72" t="n"/>
      <c r="J538" s="71" t="n"/>
      <c r="K538" s="73" t="n"/>
    </row>
    <row r="539">
      <c r="A539" s="62" t="inlineStr">
        <is>
          <t>P</t>
        </is>
      </c>
      <c r="B539" s="60">
        <f>IF(D539&gt;1/1/2001,B538+1," ")</f>
        <v/>
      </c>
      <c r="C539" s="59">
        <f>IF(B539&lt;&gt;" ",CONCATENATE(A539,B539)," ")</f>
        <v/>
      </c>
      <c r="D539" s="69" t="n"/>
      <c r="E539" s="72" t="n"/>
      <c r="F539" s="72" t="n"/>
      <c r="G539" s="72" t="n"/>
      <c r="H539" s="72" t="n"/>
      <c r="I539" s="72" t="n"/>
      <c r="J539" s="71" t="n"/>
      <c r="K539" s="73" t="n"/>
    </row>
    <row r="540">
      <c r="A540" s="62" t="inlineStr">
        <is>
          <t>P</t>
        </is>
      </c>
      <c r="B540" s="60">
        <f>IF(D540&gt;1/1/2001,B539+1," ")</f>
        <v/>
      </c>
      <c r="C540" s="59">
        <f>IF(B540&lt;&gt;" ",CONCATENATE(A540,B540)," ")</f>
        <v/>
      </c>
      <c r="D540" s="69" t="n"/>
      <c r="E540" s="72" t="n"/>
      <c r="F540" s="72" t="n"/>
      <c r="G540" s="72" t="n"/>
      <c r="H540" s="72" t="n"/>
      <c r="I540" s="72" t="n"/>
      <c r="J540" s="71" t="n"/>
      <c r="K540" s="73" t="n"/>
    </row>
    <row r="541">
      <c r="A541" s="62" t="inlineStr">
        <is>
          <t>P</t>
        </is>
      </c>
      <c r="B541" s="60">
        <f>IF(D541&gt;1/1/2001,B540+1," ")</f>
        <v/>
      </c>
      <c r="C541" s="59">
        <f>IF(B541&lt;&gt;" ",CONCATENATE(A541,B541)," ")</f>
        <v/>
      </c>
      <c r="D541" s="69" t="n"/>
      <c r="E541" s="72" t="n"/>
      <c r="F541" s="72" t="n"/>
      <c r="G541" s="72" t="n"/>
      <c r="H541" s="72" t="n"/>
      <c r="I541" s="72" t="n"/>
      <c r="J541" s="71" t="n"/>
      <c r="K541" s="73" t="n"/>
    </row>
    <row r="542">
      <c r="A542" s="62" t="inlineStr">
        <is>
          <t>P</t>
        </is>
      </c>
      <c r="B542" s="60">
        <f>IF(D542&gt;1/1/2001,B541+1," ")</f>
        <v/>
      </c>
      <c r="C542" s="59">
        <f>IF(B542&lt;&gt;" ",CONCATENATE(A542,B542)," ")</f>
        <v/>
      </c>
      <c r="D542" s="69" t="n"/>
      <c r="E542" s="72" t="n"/>
      <c r="F542" s="72" t="n"/>
      <c r="G542" s="72" t="n"/>
      <c r="H542" s="72" t="n"/>
      <c r="I542" s="72" t="n"/>
      <c r="J542" s="71" t="n"/>
      <c r="K542" s="73" t="n"/>
    </row>
    <row r="543">
      <c r="A543" s="62" t="inlineStr">
        <is>
          <t>P</t>
        </is>
      </c>
      <c r="B543" s="60">
        <f>IF(D543&gt;1/1/2001,B542+1," ")</f>
        <v/>
      </c>
      <c r="C543" s="59">
        <f>IF(B543&lt;&gt;" ",CONCATENATE(A543,B543)," ")</f>
        <v/>
      </c>
      <c r="D543" s="69" t="n"/>
      <c r="E543" s="72" t="n"/>
      <c r="F543" s="72" t="n"/>
      <c r="G543" s="72" t="n"/>
      <c r="H543" s="72" t="n"/>
      <c r="I543" s="72" t="n"/>
      <c r="J543" s="71" t="n"/>
      <c r="K543" s="73" t="n"/>
    </row>
    <row r="544">
      <c r="A544" s="62" t="inlineStr">
        <is>
          <t>P</t>
        </is>
      </c>
      <c r="B544" s="60">
        <f>IF(D544&gt;1/1/2001,B543+1," ")</f>
        <v/>
      </c>
      <c r="C544" s="59">
        <f>IF(B544&lt;&gt;" ",CONCATENATE(A544,B544)," ")</f>
        <v/>
      </c>
      <c r="D544" s="69" t="n"/>
      <c r="E544" s="72" t="n"/>
      <c r="F544" s="72" t="n"/>
      <c r="G544" s="72" t="n"/>
      <c r="H544" s="72" t="n"/>
      <c r="I544" s="72" t="n"/>
      <c r="J544" s="71" t="n"/>
      <c r="K544" s="73" t="n"/>
    </row>
    <row r="545">
      <c r="A545" s="62" t="inlineStr">
        <is>
          <t>P</t>
        </is>
      </c>
      <c r="B545" s="60">
        <f>IF(D545&gt;1/1/2001,B544+1," ")</f>
        <v/>
      </c>
      <c r="C545" s="59">
        <f>IF(B545&lt;&gt;" ",CONCATENATE(A545,B545)," ")</f>
        <v/>
      </c>
      <c r="D545" s="69" t="n"/>
      <c r="E545" s="72" t="n"/>
      <c r="F545" s="72" t="n"/>
      <c r="G545" s="72" t="n"/>
      <c r="H545" s="72" t="n"/>
      <c r="I545" s="72" t="n"/>
      <c r="J545" s="71" t="n"/>
      <c r="K545" s="73" t="n"/>
    </row>
    <row r="546">
      <c r="A546" s="62" t="inlineStr">
        <is>
          <t>P</t>
        </is>
      </c>
      <c r="B546" s="60">
        <f>IF(D546&gt;1/1/2001,B545+1," ")</f>
        <v/>
      </c>
      <c r="C546" s="59">
        <f>IF(B546&lt;&gt;" ",CONCATENATE(A546,B546)," ")</f>
        <v/>
      </c>
      <c r="D546" s="69" t="n"/>
      <c r="E546" s="72" t="n"/>
      <c r="F546" s="72" t="n"/>
      <c r="G546" s="72" t="n"/>
      <c r="H546" s="72" t="n"/>
      <c r="I546" s="72" t="n"/>
      <c r="J546" s="71" t="n"/>
      <c r="K546" s="73" t="n"/>
    </row>
    <row r="547">
      <c r="A547" s="62" t="inlineStr">
        <is>
          <t>P</t>
        </is>
      </c>
      <c r="B547" s="60">
        <f>IF(D547&gt;1/1/2001,B546+1," ")</f>
        <v/>
      </c>
      <c r="C547" s="59">
        <f>IF(B547&lt;&gt;" ",CONCATENATE(A547,B547)," ")</f>
        <v/>
      </c>
      <c r="D547" s="69" t="n"/>
      <c r="E547" s="72" t="n"/>
      <c r="F547" s="72" t="n"/>
      <c r="G547" s="72" t="n"/>
      <c r="H547" s="72" t="n"/>
      <c r="I547" s="72" t="n"/>
      <c r="J547" s="71" t="n"/>
      <c r="K547" s="73" t="n"/>
    </row>
    <row r="548">
      <c r="A548" s="62" t="inlineStr">
        <is>
          <t>P</t>
        </is>
      </c>
      <c r="B548" s="60">
        <f>IF(D548&gt;1/1/2001,B547+1," ")</f>
        <v/>
      </c>
      <c r="C548" s="59">
        <f>IF(B548&lt;&gt;" ",CONCATENATE(A548,B548)," ")</f>
        <v/>
      </c>
      <c r="D548" s="69" t="n"/>
      <c r="E548" s="72" t="n"/>
      <c r="F548" s="72" t="n"/>
      <c r="G548" s="72" t="n"/>
      <c r="H548" s="72" t="n"/>
      <c r="I548" s="72" t="n"/>
      <c r="J548" s="71" t="n"/>
      <c r="K548" s="73" t="n"/>
    </row>
    <row r="549">
      <c r="A549" s="62" t="inlineStr">
        <is>
          <t>P</t>
        </is>
      </c>
      <c r="B549" s="60">
        <f>IF(D549&gt;1/1/2001,B548+1," ")</f>
        <v/>
      </c>
      <c r="C549" s="59">
        <f>IF(B549&lt;&gt;" ",CONCATENATE(A549,B549)," ")</f>
        <v/>
      </c>
      <c r="D549" s="69" t="n"/>
      <c r="E549" s="72" t="n"/>
      <c r="F549" s="72" t="n"/>
      <c r="G549" s="72" t="n"/>
      <c r="H549" s="72" t="n"/>
      <c r="I549" s="72" t="n"/>
      <c r="J549" s="71" t="n"/>
      <c r="K549" s="73" t="n"/>
    </row>
    <row r="550">
      <c r="A550" s="62" t="inlineStr">
        <is>
          <t>P</t>
        </is>
      </c>
      <c r="B550" s="60">
        <f>IF(D550&gt;1/1/2001,B549+1," ")</f>
        <v/>
      </c>
      <c r="C550" s="59">
        <f>IF(B550&lt;&gt;" ",CONCATENATE(A550,B550)," ")</f>
        <v/>
      </c>
      <c r="D550" s="69" t="n"/>
      <c r="E550" s="72" t="n"/>
      <c r="F550" s="72" t="n"/>
      <c r="G550" s="72" t="n"/>
      <c r="H550" s="72" t="n"/>
      <c r="I550" s="72" t="n"/>
      <c r="J550" s="71" t="n"/>
      <c r="K550" s="73" t="n"/>
    </row>
    <row r="551">
      <c r="A551" s="62" t="inlineStr">
        <is>
          <t>P</t>
        </is>
      </c>
      <c r="B551" s="60">
        <f>IF(D551&gt;1/1/2001,B550+1," ")</f>
        <v/>
      </c>
      <c r="C551" s="59">
        <f>IF(B551&lt;&gt;" ",CONCATENATE(A551,B551)," ")</f>
        <v/>
      </c>
      <c r="D551" s="69" t="n"/>
      <c r="E551" s="72" t="n"/>
      <c r="F551" s="72" t="n"/>
      <c r="G551" s="72" t="n"/>
      <c r="H551" s="72" t="n"/>
      <c r="I551" s="72" t="n"/>
      <c r="J551" s="71" t="n"/>
      <c r="K551" s="73" t="n"/>
    </row>
    <row r="552">
      <c r="A552" s="62" t="inlineStr">
        <is>
          <t>P</t>
        </is>
      </c>
      <c r="B552" s="60">
        <f>IF(D552&gt;1/1/2001,B551+1," ")</f>
        <v/>
      </c>
      <c r="C552" s="59">
        <f>IF(B552&lt;&gt;" ",CONCATENATE(A552,B552)," ")</f>
        <v/>
      </c>
      <c r="D552" s="69" t="n"/>
      <c r="E552" s="72" t="n"/>
      <c r="F552" s="72" t="n"/>
      <c r="G552" s="72" t="n"/>
      <c r="H552" s="72" t="n"/>
      <c r="I552" s="72" t="n"/>
      <c r="J552" s="71" t="n"/>
      <c r="K552" s="73" t="n"/>
    </row>
    <row r="553">
      <c r="A553" s="62" t="inlineStr">
        <is>
          <t>P</t>
        </is>
      </c>
      <c r="B553" s="60">
        <f>IF(D553&gt;1/1/2001,B552+1," ")</f>
        <v/>
      </c>
      <c r="C553" s="59">
        <f>IF(B553&lt;&gt;" ",CONCATENATE(A553,B553)," ")</f>
        <v/>
      </c>
      <c r="D553" s="69" t="n"/>
      <c r="E553" s="72" t="n"/>
      <c r="F553" s="72" t="n"/>
      <c r="G553" s="72" t="n"/>
      <c r="H553" s="72" t="n"/>
      <c r="I553" s="72" t="n"/>
      <c r="J553" s="71" t="n"/>
      <c r="K553" s="73" t="n"/>
    </row>
    <row r="554">
      <c r="A554" s="62" t="inlineStr">
        <is>
          <t>P</t>
        </is>
      </c>
      <c r="B554" s="60">
        <f>IF(D554&gt;1/1/2001,B553+1," ")</f>
        <v/>
      </c>
      <c r="C554" s="59">
        <f>IF(B554&lt;&gt;" ",CONCATENATE(A554,B554)," ")</f>
        <v/>
      </c>
      <c r="D554" s="69" t="n"/>
      <c r="E554" s="72" t="n"/>
      <c r="F554" s="72" t="n"/>
      <c r="G554" s="72" t="n"/>
      <c r="H554" s="72" t="n"/>
      <c r="I554" s="72" t="n"/>
      <c r="J554" s="71" t="n"/>
      <c r="K554" s="73" t="n"/>
    </row>
    <row r="555">
      <c r="A555" s="62" t="inlineStr">
        <is>
          <t>P</t>
        </is>
      </c>
      <c r="B555" s="60">
        <f>IF(D555&gt;1/1/2001,B554+1," ")</f>
        <v/>
      </c>
      <c r="C555" s="59">
        <f>IF(B555&lt;&gt;" ",CONCATENATE(A555,B555)," ")</f>
        <v/>
      </c>
      <c r="D555" s="69" t="n"/>
      <c r="E555" s="72" t="n"/>
      <c r="F555" s="72" t="n"/>
      <c r="G555" s="72" t="n"/>
      <c r="H555" s="72" t="n"/>
      <c r="I555" s="72" t="n"/>
      <c r="J555" s="71" t="n"/>
      <c r="K555" s="73" t="n"/>
    </row>
    <row r="556">
      <c r="A556" s="62" t="inlineStr">
        <is>
          <t>P</t>
        </is>
      </c>
      <c r="B556" s="60">
        <f>IF(D556&gt;1/1/2001,B555+1," ")</f>
        <v/>
      </c>
      <c r="C556" s="59">
        <f>IF(B556&lt;&gt;" ",CONCATENATE(A556,B556)," ")</f>
        <v/>
      </c>
      <c r="D556" s="69" t="n"/>
      <c r="E556" s="72" t="n"/>
      <c r="F556" s="72" t="n"/>
      <c r="G556" s="72" t="n"/>
      <c r="H556" s="72" t="n"/>
      <c r="I556" s="72" t="n"/>
      <c r="J556" s="71" t="n"/>
      <c r="K556" s="73" t="n"/>
    </row>
    <row r="557">
      <c r="A557" s="62" t="inlineStr">
        <is>
          <t>P</t>
        </is>
      </c>
      <c r="B557" s="60">
        <f>IF(D557&gt;1/1/2001,B556+1," ")</f>
        <v/>
      </c>
      <c r="C557" s="59">
        <f>IF(B557&lt;&gt;" ",CONCATENATE(A557,B557)," ")</f>
        <v/>
      </c>
      <c r="D557" s="69" t="n"/>
      <c r="E557" s="72" t="n"/>
      <c r="F557" s="72" t="n"/>
      <c r="G557" s="72" t="n"/>
      <c r="H557" s="72" t="n"/>
      <c r="I557" s="72" t="n"/>
      <c r="J557" s="71" t="n"/>
      <c r="K557" s="73" t="n"/>
    </row>
    <row r="558">
      <c r="A558" s="62" t="inlineStr">
        <is>
          <t>P</t>
        </is>
      </c>
      <c r="B558" s="60">
        <f>IF(D558&gt;1/1/2001,B557+1," ")</f>
        <v/>
      </c>
      <c r="C558" s="59">
        <f>IF(B558&lt;&gt;" ",CONCATENATE(A558,B558)," ")</f>
        <v/>
      </c>
      <c r="D558" s="69" t="n"/>
      <c r="E558" s="72" t="n"/>
      <c r="F558" s="72" t="n"/>
      <c r="G558" s="72" t="n"/>
      <c r="H558" s="72" t="n"/>
      <c r="I558" s="72" t="n"/>
      <c r="J558" s="71" t="n"/>
      <c r="K558" s="73" t="n"/>
    </row>
    <row r="559">
      <c r="A559" s="62" t="inlineStr">
        <is>
          <t>P</t>
        </is>
      </c>
      <c r="B559" s="60">
        <f>IF(D559&gt;1/1/2001,B558+1," ")</f>
        <v/>
      </c>
      <c r="C559" s="59">
        <f>IF(B559&lt;&gt;" ",CONCATENATE(A559,B559)," ")</f>
        <v/>
      </c>
      <c r="D559" s="69" t="n"/>
      <c r="E559" s="72" t="n"/>
      <c r="F559" s="72" t="n"/>
      <c r="G559" s="72" t="n"/>
      <c r="H559" s="72" t="n"/>
      <c r="I559" s="72" t="n"/>
      <c r="J559" s="71" t="n"/>
      <c r="K559" s="73" t="n"/>
    </row>
    <row r="560">
      <c r="A560" s="62" t="inlineStr">
        <is>
          <t>P</t>
        </is>
      </c>
      <c r="B560" s="60">
        <f>IF(D560&gt;1/1/2001,B559+1," ")</f>
        <v/>
      </c>
      <c r="C560" s="59">
        <f>IF(B560&lt;&gt;" ",CONCATENATE(A560,B560)," ")</f>
        <v/>
      </c>
      <c r="D560" s="69" t="n"/>
      <c r="E560" s="72" t="n"/>
      <c r="F560" s="72" t="n"/>
      <c r="G560" s="72" t="n"/>
      <c r="H560" s="72" t="n"/>
      <c r="I560" s="72" t="n"/>
      <c r="J560" s="71" t="n"/>
      <c r="K560" s="73" t="n"/>
    </row>
    <row r="561">
      <c r="A561" s="62" t="inlineStr">
        <is>
          <t>P</t>
        </is>
      </c>
      <c r="B561" s="60">
        <f>IF(D561&gt;1/1/2001,B560+1," ")</f>
        <v/>
      </c>
      <c r="C561" s="59">
        <f>IF(B561&lt;&gt;" ",CONCATENATE(A561,B561)," ")</f>
        <v/>
      </c>
      <c r="D561" s="69" t="n"/>
      <c r="E561" s="72" t="n"/>
      <c r="F561" s="72" t="n"/>
      <c r="G561" s="72" t="n"/>
      <c r="H561" s="72" t="n"/>
      <c r="I561" s="72" t="n"/>
      <c r="J561" s="71" t="n"/>
      <c r="K561" s="73" t="n"/>
    </row>
    <row r="562">
      <c r="A562" s="62" t="inlineStr">
        <is>
          <t>P</t>
        </is>
      </c>
      <c r="B562" s="60">
        <f>IF(D562&gt;1/1/2001,B561+1," ")</f>
        <v/>
      </c>
      <c r="C562" s="59">
        <f>IF(B562&lt;&gt;" ",CONCATENATE(A562,B562)," ")</f>
        <v/>
      </c>
      <c r="D562" s="69" t="n"/>
      <c r="E562" s="72" t="n"/>
      <c r="F562" s="72" t="n"/>
      <c r="G562" s="72" t="n"/>
      <c r="H562" s="72" t="n"/>
      <c r="I562" s="72" t="n"/>
      <c r="J562" s="71" t="n"/>
      <c r="K562" s="73" t="n"/>
    </row>
    <row r="563">
      <c r="A563" s="62" t="inlineStr">
        <is>
          <t>P</t>
        </is>
      </c>
      <c r="B563" s="60">
        <f>IF(D563&gt;1/1/2001,B562+1," ")</f>
        <v/>
      </c>
      <c r="C563" s="59">
        <f>IF(B563&lt;&gt;" ",CONCATENATE(A563,B563)," ")</f>
        <v/>
      </c>
      <c r="D563" s="69" t="n"/>
      <c r="E563" s="72" t="n"/>
      <c r="F563" s="72" t="n"/>
      <c r="G563" s="72" t="n"/>
      <c r="H563" s="72" t="n"/>
      <c r="I563" s="72" t="n"/>
      <c r="J563" s="71" t="n"/>
      <c r="K563" s="73" t="n"/>
    </row>
    <row r="564">
      <c r="A564" s="62" t="inlineStr">
        <is>
          <t>P</t>
        </is>
      </c>
      <c r="B564" s="60">
        <f>IF(D564&gt;1/1/2001,B563+1," ")</f>
        <v/>
      </c>
      <c r="C564" s="59">
        <f>IF(B564&lt;&gt;" ",CONCATENATE(A564,B564)," ")</f>
        <v/>
      </c>
      <c r="D564" s="69" t="n"/>
      <c r="E564" s="72" t="n"/>
      <c r="F564" s="72" t="n"/>
      <c r="G564" s="72" t="n"/>
      <c r="H564" s="72" t="n"/>
      <c r="I564" s="72" t="n"/>
      <c r="J564" s="71" t="n"/>
      <c r="K564" s="73" t="n"/>
    </row>
    <row r="565">
      <c r="A565" s="62" t="inlineStr">
        <is>
          <t>P</t>
        </is>
      </c>
      <c r="B565" s="60">
        <f>IF(D565&gt;1/1/2001,B564+1," ")</f>
        <v/>
      </c>
      <c r="C565" s="59">
        <f>IF(B565&lt;&gt;" ",CONCATENATE(A565,B565)," ")</f>
        <v/>
      </c>
      <c r="D565" s="69" t="n"/>
      <c r="E565" s="72" t="n"/>
      <c r="F565" s="72" t="n"/>
      <c r="G565" s="72" t="n"/>
      <c r="H565" s="72" t="n"/>
      <c r="I565" s="72" t="n"/>
      <c r="J565" s="71" t="n"/>
      <c r="K565" s="73" t="n"/>
    </row>
    <row r="566">
      <c r="A566" s="62" t="inlineStr">
        <is>
          <t>P</t>
        </is>
      </c>
      <c r="B566" s="60">
        <f>IF(D566&gt;1/1/2001,B565+1," ")</f>
        <v/>
      </c>
      <c r="C566" s="59">
        <f>IF(B566&lt;&gt;" ",CONCATENATE(A566,B566)," ")</f>
        <v/>
      </c>
      <c r="D566" s="69" t="n"/>
      <c r="E566" s="72" t="n"/>
      <c r="F566" s="72" t="n"/>
      <c r="G566" s="72" t="n"/>
      <c r="H566" s="72" t="n"/>
      <c r="I566" s="72" t="n"/>
      <c r="J566" s="71" t="n"/>
      <c r="K566" s="73" t="n"/>
    </row>
    <row r="567">
      <c r="A567" s="62" t="inlineStr">
        <is>
          <t>P</t>
        </is>
      </c>
      <c r="B567" s="60">
        <f>IF(D567&gt;1/1/2001,B566+1," ")</f>
        <v/>
      </c>
      <c r="C567" s="59">
        <f>IF(B567&lt;&gt;" ",CONCATENATE(A567,B567)," ")</f>
        <v/>
      </c>
      <c r="D567" s="69" t="n"/>
      <c r="E567" s="72" t="n"/>
      <c r="F567" s="72" t="n"/>
      <c r="G567" s="72" t="n"/>
      <c r="H567" s="72" t="n"/>
      <c r="I567" s="72" t="n"/>
      <c r="J567" s="71" t="n"/>
      <c r="K567" s="73" t="n"/>
    </row>
    <row r="568">
      <c r="A568" s="62" t="inlineStr">
        <is>
          <t>P</t>
        </is>
      </c>
      <c r="B568" s="60">
        <f>IF(D568&gt;1/1/2001,B567+1," ")</f>
        <v/>
      </c>
      <c r="C568" s="59">
        <f>IF(B568&lt;&gt;" ",CONCATENATE(A568,B568)," ")</f>
        <v/>
      </c>
      <c r="D568" s="69" t="n"/>
      <c r="E568" s="72" t="n"/>
      <c r="F568" s="72" t="n"/>
      <c r="G568" s="72" t="n"/>
      <c r="H568" s="72" t="n"/>
      <c r="I568" s="72" t="n"/>
      <c r="J568" s="71" t="n"/>
      <c r="K568" s="73" t="n"/>
    </row>
    <row r="569">
      <c r="A569" s="62" t="inlineStr">
        <is>
          <t>P</t>
        </is>
      </c>
      <c r="B569" s="60">
        <f>IF(D569&gt;1/1/2001,B568+1," ")</f>
        <v/>
      </c>
      <c r="C569" s="59">
        <f>IF(B569&lt;&gt;" ",CONCATENATE(A569,B569)," ")</f>
        <v/>
      </c>
      <c r="D569" s="69" t="n"/>
      <c r="E569" s="72" t="n"/>
      <c r="F569" s="72" t="n"/>
      <c r="G569" s="72" t="n"/>
      <c r="H569" s="72" t="n"/>
      <c r="I569" s="72" t="n"/>
      <c r="J569" s="71" t="n"/>
      <c r="K569" s="73" t="n"/>
    </row>
    <row r="570">
      <c r="A570" s="62" t="inlineStr">
        <is>
          <t>P</t>
        </is>
      </c>
      <c r="B570" s="60">
        <f>IF(D570&gt;1/1/2001,B569+1," ")</f>
        <v/>
      </c>
      <c r="C570" s="59">
        <f>IF(B570&lt;&gt;" ",CONCATENATE(A570,B570)," ")</f>
        <v/>
      </c>
      <c r="D570" s="69" t="n"/>
      <c r="E570" s="72" t="n"/>
      <c r="F570" s="72" t="n"/>
      <c r="G570" s="72" t="n"/>
      <c r="H570" s="72" t="n"/>
      <c r="I570" s="72" t="n"/>
      <c r="J570" s="71" t="n"/>
      <c r="K570" s="73" t="n"/>
    </row>
    <row r="571">
      <c r="A571" s="62" t="inlineStr">
        <is>
          <t>P</t>
        </is>
      </c>
      <c r="B571" s="60">
        <f>IF(D571&gt;1/1/2001,B570+1," ")</f>
        <v/>
      </c>
      <c r="C571" s="59">
        <f>IF(B571&lt;&gt;" ",CONCATENATE(A571,B571)," ")</f>
        <v/>
      </c>
      <c r="D571" s="69" t="n"/>
      <c r="E571" s="72" t="n"/>
      <c r="F571" s="72" t="n"/>
      <c r="G571" s="72" t="n"/>
      <c r="H571" s="72" t="n"/>
      <c r="I571" s="72" t="n"/>
      <c r="J571" s="71" t="n"/>
      <c r="K571" s="73" t="n"/>
    </row>
    <row r="572">
      <c r="A572" s="62" t="inlineStr">
        <is>
          <t>P</t>
        </is>
      </c>
      <c r="B572" s="60">
        <f>IF(D572&gt;1/1/2001,B571+1," ")</f>
        <v/>
      </c>
      <c r="C572" s="59">
        <f>IF(B572&lt;&gt;" ",CONCATENATE(A572,B572)," ")</f>
        <v/>
      </c>
      <c r="D572" s="69" t="n"/>
      <c r="E572" s="72" t="n"/>
      <c r="F572" s="72" t="n"/>
      <c r="G572" s="72" t="n"/>
      <c r="H572" s="72" t="n"/>
      <c r="I572" s="72" t="n"/>
      <c r="J572" s="71" t="n"/>
      <c r="K572" s="73" t="n"/>
    </row>
    <row r="573">
      <c r="A573" s="62" t="inlineStr">
        <is>
          <t>P</t>
        </is>
      </c>
      <c r="B573" s="60">
        <f>IF(D573&gt;1/1/2001,B572+1," ")</f>
        <v/>
      </c>
      <c r="C573" s="59">
        <f>IF(B573&lt;&gt;" ",CONCATENATE(A573,B573)," ")</f>
        <v/>
      </c>
      <c r="D573" s="69" t="n"/>
      <c r="E573" s="72" t="n"/>
      <c r="F573" s="72" t="n"/>
      <c r="G573" s="72" t="n"/>
      <c r="H573" s="72" t="n"/>
      <c r="I573" s="72" t="n"/>
      <c r="J573" s="71" t="n"/>
      <c r="K573" s="73" t="n"/>
    </row>
    <row r="574">
      <c r="A574" s="62" t="inlineStr">
        <is>
          <t>P</t>
        </is>
      </c>
      <c r="B574" s="60">
        <f>IF(D574&gt;1/1/2001,B573+1," ")</f>
        <v/>
      </c>
      <c r="C574" s="59">
        <f>IF(B574&lt;&gt;" ",CONCATENATE(A574,B574)," ")</f>
        <v/>
      </c>
      <c r="D574" s="69" t="n"/>
      <c r="E574" s="72" t="n"/>
      <c r="F574" s="72" t="n"/>
      <c r="G574" s="72" t="n"/>
      <c r="H574" s="72" t="n"/>
      <c r="I574" s="72" t="n"/>
      <c r="J574" s="71" t="n"/>
      <c r="K574" s="73" t="n"/>
    </row>
    <row r="575">
      <c r="A575" s="62" t="inlineStr">
        <is>
          <t>P</t>
        </is>
      </c>
      <c r="B575" s="60">
        <f>IF(D575&gt;1/1/2001,B574+1," ")</f>
        <v/>
      </c>
      <c r="C575" s="59">
        <f>IF(B575&lt;&gt;" ",CONCATENATE(A575,B575)," ")</f>
        <v/>
      </c>
      <c r="D575" s="69" t="n"/>
      <c r="E575" s="72" t="n"/>
      <c r="F575" s="72" t="n"/>
      <c r="G575" s="72" t="n"/>
      <c r="H575" s="72" t="n"/>
      <c r="I575" s="72" t="n"/>
      <c r="J575" s="71" t="n"/>
      <c r="K575" s="73" t="n"/>
    </row>
    <row r="576">
      <c r="A576" s="62" t="inlineStr">
        <is>
          <t>P</t>
        </is>
      </c>
      <c r="B576" s="60">
        <f>IF(D576&gt;1/1/2001,B575+1," ")</f>
        <v/>
      </c>
      <c r="C576" s="59">
        <f>IF(B576&lt;&gt;" ",CONCATENATE(A576,B576)," ")</f>
        <v/>
      </c>
      <c r="D576" s="69" t="n"/>
      <c r="E576" s="72" t="n"/>
      <c r="F576" s="72" t="n"/>
      <c r="G576" s="72" t="n"/>
      <c r="H576" s="72" t="n"/>
      <c r="I576" s="72" t="n"/>
      <c r="J576" s="71" t="n"/>
      <c r="K576" s="73" t="n"/>
    </row>
    <row r="577">
      <c r="A577" s="62" t="inlineStr">
        <is>
          <t>P</t>
        </is>
      </c>
      <c r="B577" s="60">
        <f>IF(D577&gt;1/1/2001,B576+1," ")</f>
        <v/>
      </c>
      <c r="C577" s="59">
        <f>IF(B577&lt;&gt;" ",CONCATENATE(A577,B577)," ")</f>
        <v/>
      </c>
      <c r="D577" s="69" t="n"/>
      <c r="E577" s="72" t="n"/>
      <c r="F577" s="72" t="n"/>
      <c r="G577" s="72" t="n"/>
      <c r="H577" s="72" t="n"/>
      <c r="I577" s="72" t="n"/>
      <c r="J577" s="71" t="n"/>
      <c r="K577" s="73" t="n"/>
    </row>
    <row r="578">
      <c r="A578" s="62" t="inlineStr">
        <is>
          <t>P</t>
        </is>
      </c>
      <c r="B578" s="60">
        <f>IF(D578&gt;1/1/2001,B577+1," ")</f>
        <v/>
      </c>
      <c r="C578" s="59">
        <f>IF(B578&lt;&gt;" ",CONCATENATE(A578,B578)," ")</f>
        <v/>
      </c>
      <c r="D578" s="69" t="n"/>
      <c r="E578" s="72" t="n"/>
      <c r="F578" s="72" t="n"/>
      <c r="G578" s="72" t="n"/>
      <c r="H578" s="72" t="n"/>
      <c r="I578" s="72" t="n"/>
      <c r="J578" s="71" t="n"/>
      <c r="K578" s="73" t="n"/>
    </row>
    <row r="579">
      <c r="A579" s="62" t="inlineStr">
        <is>
          <t>P</t>
        </is>
      </c>
      <c r="B579" s="60">
        <f>IF(D579&gt;1/1/2001,B578+1," ")</f>
        <v/>
      </c>
      <c r="C579" s="59">
        <f>IF(B579&lt;&gt;" ",CONCATENATE(A579,B579)," ")</f>
        <v/>
      </c>
      <c r="D579" s="69" t="n"/>
      <c r="E579" s="72" t="n"/>
      <c r="F579" s="72" t="n"/>
      <c r="G579" s="72" t="n"/>
      <c r="H579" s="72" t="n"/>
      <c r="I579" s="72" t="n"/>
      <c r="J579" s="71" t="n"/>
      <c r="K579" s="73" t="n"/>
    </row>
    <row r="580">
      <c r="A580" s="62" t="inlineStr">
        <is>
          <t>P</t>
        </is>
      </c>
      <c r="B580" s="60">
        <f>IF(D580&gt;1/1/2001,B579+1," ")</f>
        <v/>
      </c>
      <c r="C580" s="59">
        <f>IF(B580&lt;&gt;" ",CONCATENATE(A580,B580)," ")</f>
        <v/>
      </c>
      <c r="D580" s="69" t="n"/>
      <c r="E580" s="72" t="n"/>
      <c r="F580" s="72" t="n"/>
      <c r="G580" s="72" t="n"/>
      <c r="H580" s="72" t="n"/>
      <c r="I580" s="72" t="n"/>
      <c r="J580" s="71" t="n"/>
      <c r="K580" s="73" t="n"/>
    </row>
    <row r="581">
      <c r="A581" s="62" t="inlineStr">
        <is>
          <t>P</t>
        </is>
      </c>
      <c r="B581" s="60">
        <f>IF(D581&gt;1/1/2001,B580+1," ")</f>
        <v/>
      </c>
      <c r="C581" s="59">
        <f>IF(B581&lt;&gt;" ",CONCATENATE(A581,B581)," ")</f>
        <v/>
      </c>
      <c r="D581" s="69" t="n"/>
      <c r="E581" s="72" t="n"/>
      <c r="F581" s="72" t="n"/>
      <c r="G581" s="72" t="n"/>
      <c r="H581" s="72" t="n"/>
      <c r="I581" s="72" t="n"/>
      <c r="J581" s="71" t="n"/>
      <c r="K581" s="73" t="n"/>
    </row>
    <row r="582">
      <c r="A582" s="62" t="inlineStr">
        <is>
          <t>P</t>
        </is>
      </c>
      <c r="B582" s="60">
        <f>IF(D582&gt;1/1/2001,B581+1," ")</f>
        <v/>
      </c>
      <c r="C582" s="59">
        <f>IF(B582&lt;&gt;" ",CONCATENATE(A582,B582)," ")</f>
        <v/>
      </c>
      <c r="D582" s="69" t="n"/>
      <c r="E582" s="72" t="n"/>
      <c r="F582" s="72" t="n"/>
      <c r="G582" s="72" t="n"/>
      <c r="H582" s="72" t="n"/>
      <c r="I582" s="72" t="n"/>
      <c r="J582" s="71" t="n"/>
      <c r="K582" s="73" t="n"/>
    </row>
    <row r="583">
      <c r="A583" s="62" t="inlineStr">
        <is>
          <t>P</t>
        </is>
      </c>
      <c r="B583" s="60">
        <f>IF(D583&gt;1/1/2001,B582+1," ")</f>
        <v/>
      </c>
      <c r="C583" s="59">
        <f>IF(B583&lt;&gt;" ",CONCATENATE(A583,B583)," ")</f>
        <v/>
      </c>
      <c r="D583" s="69" t="n"/>
      <c r="E583" s="72" t="n"/>
      <c r="F583" s="72" t="n"/>
      <c r="G583" s="72" t="n"/>
      <c r="H583" s="72" t="n"/>
      <c r="I583" s="72" t="n"/>
      <c r="J583" s="71" t="n"/>
      <c r="K583" s="73" t="n"/>
    </row>
    <row r="584">
      <c r="A584" s="62" t="inlineStr">
        <is>
          <t>P</t>
        </is>
      </c>
      <c r="B584" s="60">
        <f>IF(D584&gt;1/1/2001,B583+1," ")</f>
        <v/>
      </c>
      <c r="C584" s="59">
        <f>IF(B584&lt;&gt;" ",CONCATENATE(A584,B584)," ")</f>
        <v/>
      </c>
      <c r="D584" s="69" t="n"/>
      <c r="E584" s="72" t="n"/>
      <c r="F584" s="72" t="n"/>
      <c r="G584" s="72" t="n"/>
      <c r="H584" s="72" t="n"/>
      <c r="I584" s="72" t="n"/>
      <c r="J584" s="71" t="n"/>
      <c r="K584" s="73" t="n"/>
    </row>
    <row r="585">
      <c r="A585" s="62" t="inlineStr">
        <is>
          <t>P</t>
        </is>
      </c>
      <c r="B585" s="60">
        <f>IF(D585&gt;1/1/2001,B584+1," ")</f>
        <v/>
      </c>
      <c r="C585" s="59">
        <f>IF(B585&lt;&gt;" ",CONCATENATE(A585,B585)," ")</f>
        <v/>
      </c>
      <c r="D585" s="69" t="n"/>
      <c r="E585" s="72" t="n"/>
      <c r="F585" s="72" t="n"/>
      <c r="G585" s="72" t="n"/>
      <c r="H585" s="72" t="n"/>
      <c r="I585" s="72" t="n"/>
      <c r="J585" s="71" t="n"/>
      <c r="K585" s="73" t="n"/>
    </row>
    <row r="586">
      <c r="A586" s="62" t="inlineStr">
        <is>
          <t>P</t>
        </is>
      </c>
      <c r="B586" s="60">
        <f>IF(D586&gt;1/1/2001,B585+1," ")</f>
        <v/>
      </c>
      <c r="C586" s="59">
        <f>IF(B586&lt;&gt;" ",CONCATENATE(A586,B586)," ")</f>
        <v/>
      </c>
      <c r="D586" s="69" t="n"/>
      <c r="E586" s="72" t="n"/>
      <c r="F586" s="72" t="n"/>
      <c r="G586" s="72" t="n"/>
      <c r="H586" s="72" t="n"/>
      <c r="I586" s="72" t="n"/>
      <c r="J586" s="71" t="n"/>
      <c r="K586" s="73" t="n"/>
    </row>
    <row r="587">
      <c r="A587" s="62" t="inlineStr">
        <is>
          <t>P</t>
        </is>
      </c>
      <c r="B587" s="60">
        <f>IF(D587&gt;1/1/2001,B586+1," ")</f>
        <v/>
      </c>
      <c r="C587" s="59">
        <f>IF(B587&lt;&gt;" ",CONCATENATE(A587,B587)," ")</f>
        <v/>
      </c>
      <c r="D587" s="69" t="n"/>
      <c r="E587" s="72" t="n"/>
      <c r="F587" s="72" t="n"/>
      <c r="G587" s="72" t="n"/>
      <c r="H587" s="72" t="n"/>
      <c r="I587" s="72" t="n"/>
      <c r="J587" s="71" t="n"/>
      <c r="K587" s="73" t="n"/>
    </row>
    <row r="588">
      <c r="A588" s="62" t="inlineStr">
        <is>
          <t>P</t>
        </is>
      </c>
      <c r="B588" s="60">
        <f>IF(D588&gt;1/1/2001,B587+1," ")</f>
        <v/>
      </c>
      <c r="C588" s="59">
        <f>IF(B588&lt;&gt;" ",CONCATENATE(A588,B588)," ")</f>
        <v/>
      </c>
      <c r="D588" s="69" t="n"/>
      <c r="E588" s="72" t="n"/>
      <c r="F588" s="72" t="n"/>
      <c r="G588" s="72" t="n"/>
      <c r="H588" s="72" t="n"/>
      <c r="I588" s="72" t="n"/>
      <c r="J588" s="71" t="n"/>
      <c r="K588" s="73" t="n"/>
    </row>
    <row r="589">
      <c r="A589" s="62" t="inlineStr">
        <is>
          <t>P</t>
        </is>
      </c>
      <c r="B589" s="60">
        <f>IF(D589&gt;1/1/2001,B588+1," ")</f>
        <v/>
      </c>
      <c r="C589" s="59">
        <f>IF(B589&lt;&gt;" ",CONCATENATE(A589,B589)," ")</f>
        <v/>
      </c>
      <c r="D589" s="69" t="n"/>
      <c r="E589" s="72" t="n"/>
      <c r="F589" s="72" t="n"/>
      <c r="G589" s="72" t="n"/>
      <c r="H589" s="72" t="n"/>
      <c r="I589" s="72" t="n"/>
      <c r="J589" s="71" t="n"/>
      <c r="K589" s="73" t="n"/>
    </row>
    <row r="590">
      <c r="A590" s="62" t="inlineStr">
        <is>
          <t>P</t>
        </is>
      </c>
      <c r="B590" s="60">
        <f>IF(D590&gt;1/1/2001,B589+1," ")</f>
        <v/>
      </c>
      <c r="C590" s="59">
        <f>IF(B590&lt;&gt;" ",CONCATENATE(A590,B590)," ")</f>
        <v/>
      </c>
      <c r="D590" s="69" t="n"/>
      <c r="E590" s="72" t="n"/>
      <c r="F590" s="72" t="n"/>
      <c r="G590" s="72" t="n"/>
      <c r="H590" s="72" t="n"/>
      <c r="I590" s="72" t="n"/>
      <c r="J590" s="71" t="n"/>
      <c r="K590" s="73" t="n"/>
    </row>
    <row r="591">
      <c r="A591" s="62" t="inlineStr">
        <is>
          <t>P</t>
        </is>
      </c>
      <c r="B591" s="60">
        <f>IF(D591&gt;1/1/2001,B590+1," ")</f>
        <v/>
      </c>
      <c r="C591" s="59">
        <f>IF(B591&lt;&gt;" ",CONCATENATE(A591,B591)," ")</f>
        <v/>
      </c>
      <c r="D591" s="69" t="n"/>
      <c r="E591" s="72" t="n"/>
      <c r="F591" s="72" t="n"/>
      <c r="G591" s="72" t="n"/>
      <c r="H591" s="72" t="n"/>
      <c r="I591" s="72" t="n"/>
      <c r="J591" s="71" t="n"/>
      <c r="K591" s="73" t="n"/>
    </row>
    <row r="592">
      <c r="A592" s="62" t="inlineStr">
        <is>
          <t>P</t>
        </is>
      </c>
      <c r="B592" s="60">
        <f>IF(D592&gt;1/1/2001,B591+1," ")</f>
        <v/>
      </c>
      <c r="C592" s="59">
        <f>IF(B592&lt;&gt;" ",CONCATENATE(A592,B592)," ")</f>
        <v/>
      </c>
      <c r="D592" s="69" t="n"/>
      <c r="E592" s="72" t="n"/>
      <c r="F592" s="72" t="n"/>
      <c r="G592" s="72" t="n"/>
      <c r="H592" s="72" t="n"/>
      <c r="I592" s="72" t="n"/>
      <c r="J592" s="71" t="n"/>
      <c r="K592" s="73" t="n"/>
    </row>
    <row r="593">
      <c r="A593" s="62" t="inlineStr">
        <is>
          <t>P</t>
        </is>
      </c>
      <c r="B593" s="60">
        <f>IF(D593&gt;1/1/2001,B592+1," ")</f>
        <v/>
      </c>
      <c r="C593" s="59">
        <f>IF(B593&lt;&gt;" ",CONCATENATE(A593,B593)," ")</f>
        <v/>
      </c>
      <c r="D593" s="69" t="n"/>
      <c r="E593" s="72" t="n"/>
      <c r="F593" s="72" t="n"/>
      <c r="G593" s="72" t="n"/>
      <c r="H593" s="72" t="n"/>
      <c r="I593" s="72" t="n"/>
      <c r="J593" s="71" t="n"/>
      <c r="K593" s="73" t="n"/>
    </row>
    <row r="594">
      <c r="A594" s="62" t="inlineStr">
        <is>
          <t>P</t>
        </is>
      </c>
      <c r="B594" s="60">
        <f>IF(D594&gt;1/1/2001,B593+1," ")</f>
        <v/>
      </c>
      <c r="C594" s="59">
        <f>IF(B594&lt;&gt;" ",CONCATENATE(A594,B594)," ")</f>
        <v/>
      </c>
      <c r="D594" s="69" t="n"/>
      <c r="E594" s="72" t="n"/>
      <c r="F594" s="72" t="n"/>
      <c r="G594" s="72" t="n"/>
      <c r="H594" s="72" t="n"/>
      <c r="I594" s="72" t="n"/>
      <c r="J594" s="71" t="n"/>
      <c r="K594" s="73" t="n"/>
    </row>
    <row r="595">
      <c r="A595" s="62" t="inlineStr">
        <is>
          <t>P</t>
        </is>
      </c>
      <c r="B595" s="60">
        <f>IF(D595&gt;1/1/2001,B594+1," ")</f>
        <v/>
      </c>
      <c r="C595" s="59">
        <f>IF(B595&lt;&gt;" ",CONCATENATE(A595,B595)," ")</f>
        <v/>
      </c>
      <c r="D595" s="69" t="n"/>
      <c r="E595" s="72" t="n"/>
      <c r="F595" s="72" t="n"/>
      <c r="G595" s="72" t="n"/>
      <c r="H595" s="72" t="n"/>
      <c r="I595" s="72" t="n"/>
      <c r="J595" s="71" t="n"/>
      <c r="K595" s="73" t="n"/>
    </row>
    <row r="596">
      <c r="A596" s="62" t="inlineStr">
        <is>
          <t>P</t>
        </is>
      </c>
      <c r="B596" s="60">
        <f>IF(D596&gt;1/1/2001,B595+1," ")</f>
        <v/>
      </c>
      <c r="C596" s="59">
        <f>IF(B596&lt;&gt;" ",CONCATENATE(A596,B596)," ")</f>
        <v/>
      </c>
      <c r="D596" s="69" t="n"/>
      <c r="E596" s="72" t="n"/>
      <c r="F596" s="72" t="n"/>
      <c r="G596" s="72" t="n"/>
      <c r="H596" s="72" t="n"/>
      <c r="I596" s="72" t="n"/>
      <c r="J596" s="71" t="n"/>
      <c r="K596" s="73" t="n"/>
    </row>
    <row r="597">
      <c r="A597" s="62" t="inlineStr">
        <is>
          <t>P</t>
        </is>
      </c>
      <c r="B597" s="60">
        <f>IF(D597&gt;1/1/2001,B596+1," ")</f>
        <v/>
      </c>
      <c r="C597" s="59">
        <f>IF(B597&lt;&gt;" ",CONCATENATE(A597,B597)," ")</f>
        <v/>
      </c>
      <c r="D597" s="69" t="n"/>
      <c r="E597" s="72" t="n"/>
      <c r="F597" s="72" t="n"/>
      <c r="G597" s="72" t="n"/>
      <c r="H597" s="72" t="n"/>
      <c r="I597" s="72" t="n"/>
      <c r="J597" s="71" t="n"/>
      <c r="K597" s="73" t="n"/>
    </row>
    <row r="598">
      <c r="A598" s="62" t="inlineStr">
        <is>
          <t>P</t>
        </is>
      </c>
      <c r="B598" s="60">
        <f>IF(D598&gt;1/1/2001,B597+1," ")</f>
        <v/>
      </c>
      <c r="C598" s="59">
        <f>IF(B598&lt;&gt;" ",CONCATENATE(A598,B598)," ")</f>
        <v/>
      </c>
      <c r="D598" s="69" t="n"/>
      <c r="E598" s="72" t="n"/>
      <c r="F598" s="72" t="n"/>
      <c r="G598" s="72" t="n"/>
      <c r="H598" s="72" t="n"/>
      <c r="I598" s="72" t="n"/>
      <c r="J598" s="71" t="n"/>
      <c r="K598" s="73" t="n"/>
    </row>
    <row r="599">
      <c r="A599" s="62" t="inlineStr">
        <is>
          <t>P</t>
        </is>
      </c>
      <c r="B599" s="60">
        <f>IF(D599&gt;1/1/2001,B598+1," ")</f>
        <v/>
      </c>
      <c r="C599" s="59">
        <f>IF(B599&lt;&gt;" ",CONCATENATE(A599,B599)," ")</f>
        <v/>
      </c>
      <c r="D599" s="69" t="n"/>
      <c r="E599" s="72" t="n"/>
      <c r="F599" s="72" t="n"/>
      <c r="G599" s="72" t="n"/>
      <c r="H599" s="72" t="n"/>
      <c r="I599" s="72" t="n"/>
      <c r="J599" s="71" t="n"/>
      <c r="K599" s="73" t="n"/>
    </row>
    <row r="600">
      <c r="A600" s="62" t="inlineStr">
        <is>
          <t>P</t>
        </is>
      </c>
      <c r="B600" s="60">
        <f>IF(D600&gt;1/1/2001,B599+1," ")</f>
        <v/>
      </c>
      <c r="C600" s="59">
        <f>IF(B600&lt;&gt;" ",CONCATENATE(A600,B600)," ")</f>
        <v/>
      </c>
      <c r="D600" s="69" t="n"/>
      <c r="E600" s="72" t="n"/>
      <c r="F600" s="72" t="n"/>
      <c r="G600" s="72" t="n"/>
      <c r="H600" s="72" t="n"/>
      <c r="I600" s="72" t="n"/>
      <c r="J600" s="71" t="n"/>
      <c r="K600" s="73" t="n"/>
    </row>
    <row r="601">
      <c r="A601" s="62" t="inlineStr">
        <is>
          <t>P</t>
        </is>
      </c>
      <c r="B601" s="60">
        <f>IF(D601&gt;1/1/2001,B600+1," ")</f>
        <v/>
      </c>
      <c r="C601" s="59">
        <f>IF(B601&lt;&gt;" ",CONCATENATE(A601,B601)," ")</f>
        <v/>
      </c>
      <c r="D601" s="69" t="n"/>
      <c r="E601" s="72" t="n"/>
      <c r="F601" s="72" t="n"/>
      <c r="G601" s="72" t="n"/>
      <c r="H601" s="72" t="n"/>
      <c r="I601" s="72" t="n"/>
      <c r="J601" s="71" t="n"/>
      <c r="K601" s="73" t="n"/>
    </row>
    <row r="602">
      <c r="A602" s="62" t="inlineStr">
        <is>
          <t>P</t>
        </is>
      </c>
      <c r="B602" s="60">
        <f>IF(D602&gt;1/1/2001,B601+1," ")</f>
        <v/>
      </c>
      <c r="C602" s="59">
        <f>IF(B602&lt;&gt;" ",CONCATENATE(A602,B602)," ")</f>
        <v/>
      </c>
      <c r="D602" s="69" t="n"/>
      <c r="E602" s="72" t="n"/>
      <c r="F602" s="72" t="n"/>
      <c r="G602" s="72" t="n"/>
      <c r="H602" s="72" t="n"/>
      <c r="I602" s="72" t="n"/>
      <c r="J602" s="71" t="n"/>
      <c r="K602" s="73" t="n"/>
    </row>
    <row r="603">
      <c r="A603" s="62" t="inlineStr">
        <is>
          <t>P</t>
        </is>
      </c>
      <c r="B603" s="60">
        <f>IF(D603&gt;1/1/2001,B602+1," ")</f>
        <v/>
      </c>
      <c r="C603" s="59">
        <f>IF(B603&lt;&gt;" ",CONCATENATE(A603,B603)," ")</f>
        <v/>
      </c>
      <c r="D603" s="69" t="n"/>
      <c r="E603" s="72" t="n"/>
      <c r="F603" s="72" t="n"/>
      <c r="G603" s="72" t="n"/>
      <c r="H603" s="72" t="n"/>
      <c r="I603" s="72" t="n"/>
      <c r="J603" s="71" t="n"/>
      <c r="K603" s="73" t="n"/>
    </row>
    <row r="604">
      <c r="A604" s="62" t="inlineStr">
        <is>
          <t>P</t>
        </is>
      </c>
      <c r="B604" s="60">
        <f>IF(D604&gt;1/1/2001,B603+1," ")</f>
        <v/>
      </c>
      <c r="C604" s="59">
        <f>IF(B604&lt;&gt;" ",CONCATENATE(A604,B604)," ")</f>
        <v/>
      </c>
      <c r="D604" s="69" t="n"/>
      <c r="E604" s="72" t="n"/>
      <c r="F604" s="72" t="n"/>
      <c r="G604" s="72" t="n"/>
      <c r="H604" s="72" t="n"/>
      <c r="I604" s="72" t="n"/>
      <c r="J604" s="71" t="n"/>
      <c r="K604" s="73" t="n"/>
    </row>
    <row r="605">
      <c r="A605" s="62" t="inlineStr">
        <is>
          <t>P</t>
        </is>
      </c>
      <c r="B605" s="60">
        <f>IF(D605&gt;1/1/2001,B604+1," ")</f>
        <v/>
      </c>
      <c r="C605" s="59">
        <f>IF(B605&lt;&gt;" ",CONCATENATE(A605,B605)," ")</f>
        <v/>
      </c>
      <c r="D605" s="69" t="n"/>
      <c r="E605" s="72" t="n"/>
      <c r="F605" s="72" t="n"/>
      <c r="G605" s="72" t="n"/>
      <c r="H605" s="72" t="n"/>
      <c r="I605" s="72" t="n"/>
      <c r="J605" s="71" t="n"/>
      <c r="K605" s="73" t="n"/>
    </row>
    <row r="606">
      <c r="A606" s="62" t="inlineStr">
        <is>
          <t>P</t>
        </is>
      </c>
      <c r="B606" s="60">
        <f>IF(D606&gt;1/1/2001,B605+1," ")</f>
        <v/>
      </c>
      <c r="C606" s="59">
        <f>IF(B606&lt;&gt;" ",CONCATENATE(A606,B606)," ")</f>
        <v/>
      </c>
      <c r="D606" s="69" t="n"/>
      <c r="E606" s="72" t="n"/>
      <c r="F606" s="72" t="n"/>
      <c r="G606" s="72" t="n"/>
      <c r="H606" s="72" t="n"/>
      <c r="I606" s="72" t="n"/>
      <c r="J606" s="71" t="n"/>
      <c r="K606" s="73" t="n"/>
    </row>
    <row r="607">
      <c r="A607" s="62" t="inlineStr">
        <is>
          <t>P</t>
        </is>
      </c>
      <c r="B607" s="60">
        <f>IF(D607&gt;1/1/2001,B606+1," ")</f>
        <v/>
      </c>
      <c r="C607" s="59">
        <f>IF(B607&lt;&gt;" ",CONCATENATE(A607,B607)," ")</f>
        <v/>
      </c>
      <c r="D607" s="69" t="n"/>
      <c r="E607" s="72" t="n"/>
      <c r="F607" s="72" t="n"/>
      <c r="G607" s="72" t="n"/>
      <c r="H607" s="72" t="n"/>
      <c r="I607" s="72" t="n"/>
      <c r="J607" s="71" t="n"/>
      <c r="K607" s="73" t="n"/>
    </row>
    <row r="608">
      <c r="A608" s="62" t="inlineStr">
        <is>
          <t>P</t>
        </is>
      </c>
      <c r="B608" s="60">
        <f>IF(D608&gt;1/1/2001,B607+1," ")</f>
        <v/>
      </c>
      <c r="C608" s="59">
        <f>IF(B608&lt;&gt;" ",CONCATENATE(A608,B608)," ")</f>
        <v/>
      </c>
      <c r="D608" s="69" t="n"/>
      <c r="E608" s="72" t="n"/>
      <c r="F608" s="72" t="n"/>
      <c r="G608" s="72" t="n"/>
      <c r="H608" s="72" t="n"/>
      <c r="I608" s="72" t="n"/>
      <c r="J608" s="71" t="n"/>
      <c r="K608" s="73" t="n"/>
    </row>
    <row r="609">
      <c r="A609" s="62" t="inlineStr">
        <is>
          <t>P</t>
        </is>
      </c>
      <c r="B609" s="60">
        <f>IF(D609&gt;1/1/2001,B608+1," ")</f>
        <v/>
      </c>
      <c r="C609" s="59">
        <f>IF(B609&lt;&gt;" ",CONCATENATE(A609,B609)," ")</f>
        <v/>
      </c>
      <c r="D609" s="69" t="n"/>
      <c r="E609" s="72" t="n"/>
      <c r="F609" s="72" t="n"/>
      <c r="G609" s="72" t="n"/>
      <c r="H609" s="72" t="n"/>
      <c r="I609" s="72" t="n"/>
      <c r="J609" s="71" t="n"/>
      <c r="K609" s="73" t="n"/>
    </row>
    <row r="610">
      <c r="A610" s="62" t="inlineStr">
        <is>
          <t>P</t>
        </is>
      </c>
      <c r="B610" s="60">
        <f>IF(D610&gt;1/1/2001,B609+1," ")</f>
        <v/>
      </c>
      <c r="C610" s="59">
        <f>IF(B610&lt;&gt;" ",CONCATENATE(A610,B610)," ")</f>
        <v/>
      </c>
      <c r="D610" s="69" t="n"/>
      <c r="E610" s="72" t="n"/>
      <c r="F610" s="72" t="n"/>
      <c r="G610" s="72" t="n"/>
      <c r="H610" s="72" t="n"/>
      <c r="I610" s="72" t="n"/>
      <c r="J610" s="71" t="n"/>
      <c r="K610" s="73" t="n"/>
    </row>
    <row r="611">
      <c r="A611" s="62" t="inlineStr">
        <is>
          <t>P</t>
        </is>
      </c>
      <c r="B611" s="60">
        <f>IF(D611&gt;1/1/2001,B610+1," ")</f>
        <v/>
      </c>
      <c r="C611" s="59">
        <f>IF(B611&lt;&gt;" ",CONCATENATE(A611,B611)," ")</f>
        <v/>
      </c>
      <c r="D611" s="69" t="n"/>
      <c r="E611" s="72" t="n"/>
      <c r="F611" s="72" t="n"/>
      <c r="G611" s="72" t="n"/>
      <c r="H611" s="72" t="n"/>
      <c r="I611" s="72" t="n"/>
      <c r="J611" s="71" t="n"/>
      <c r="K611" s="73" t="n"/>
    </row>
    <row r="612">
      <c r="A612" s="62" t="inlineStr">
        <is>
          <t>P</t>
        </is>
      </c>
      <c r="B612" s="60">
        <f>IF(D612&gt;1/1/2001,B611+1," ")</f>
        <v/>
      </c>
      <c r="C612" s="59">
        <f>IF(B612&lt;&gt;" ",CONCATENATE(A612,B612)," ")</f>
        <v/>
      </c>
      <c r="D612" s="69" t="n"/>
      <c r="E612" s="72" t="n"/>
      <c r="F612" s="72" t="n"/>
      <c r="G612" s="72" t="n"/>
      <c r="H612" s="72" t="n"/>
      <c r="I612" s="72" t="n"/>
      <c r="J612" s="71" t="n"/>
      <c r="K612" s="73" t="n"/>
    </row>
    <row r="613">
      <c r="A613" s="62" t="inlineStr">
        <is>
          <t>P</t>
        </is>
      </c>
      <c r="B613" s="60">
        <f>IF(D613&gt;1/1/2001,B612+1," ")</f>
        <v/>
      </c>
      <c r="C613" s="59">
        <f>IF(B613&lt;&gt;" ",CONCATENATE(A613,B613)," ")</f>
        <v/>
      </c>
      <c r="D613" s="69" t="n"/>
      <c r="E613" s="72" t="n"/>
      <c r="F613" s="72" t="n"/>
      <c r="G613" s="72" t="n"/>
      <c r="H613" s="72" t="n"/>
      <c r="I613" s="72" t="n"/>
      <c r="J613" s="71" t="n"/>
      <c r="K613" s="73" t="n"/>
    </row>
    <row r="614">
      <c r="A614" s="62" t="inlineStr">
        <is>
          <t>P</t>
        </is>
      </c>
      <c r="B614" s="60">
        <f>IF(D614&gt;1/1/2001,B613+1," ")</f>
        <v/>
      </c>
      <c r="C614" s="59">
        <f>IF(B614&lt;&gt;" ",CONCATENATE(A614,B614)," ")</f>
        <v/>
      </c>
      <c r="D614" s="69" t="n"/>
      <c r="E614" s="72" t="n"/>
      <c r="F614" s="72" t="n"/>
      <c r="G614" s="72" t="n"/>
      <c r="H614" s="72" t="n"/>
      <c r="I614" s="72" t="n"/>
      <c r="J614" s="71" t="n"/>
      <c r="K614" s="73" t="n"/>
    </row>
    <row r="615">
      <c r="A615" s="62" t="inlineStr">
        <is>
          <t>P</t>
        </is>
      </c>
      <c r="B615" s="60">
        <f>IF(D615&gt;1/1/2001,B614+1," ")</f>
        <v/>
      </c>
      <c r="C615" s="59">
        <f>IF(B615&lt;&gt;" ",CONCATENATE(A615,B615)," ")</f>
        <v/>
      </c>
      <c r="D615" s="69" t="n"/>
      <c r="E615" s="72" t="n"/>
      <c r="F615" s="72" t="n"/>
      <c r="G615" s="72" t="n"/>
      <c r="H615" s="72" t="n"/>
      <c r="I615" s="72" t="n"/>
      <c r="J615" s="71" t="n"/>
      <c r="K615" s="73" t="n"/>
    </row>
    <row r="616">
      <c r="A616" s="62" t="inlineStr">
        <is>
          <t>P</t>
        </is>
      </c>
      <c r="B616" s="60">
        <f>IF(D616&gt;1/1/2001,B615+1," ")</f>
        <v/>
      </c>
      <c r="C616" s="59">
        <f>IF(B616&lt;&gt;" ",CONCATENATE(A616,B616)," ")</f>
        <v/>
      </c>
      <c r="D616" s="69" t="n"/>
      <c r="E616" s="72" t="n"/>
      <c r="F616" s="72" t="n"/>
      <c r="G616" s="72" t="n"/>
      <c r="H616" s="72" t="n"/>
      <c r="I616" s="72" t="n"/>
      <c r="J616" s="71" t="n"/>
      <c r="K616" s="73" t="n"/>
    </row>
    <row r="617">
      <c r="A617" s="62" t="inlineStr">
        <is>
          <t>P</t>
        </is>
      </c>
      <c r="B617" s="60">
        <f>IF(D617&gt;1/1/2001,B616+1," ")</f>
        <v/>
      </c>
      <c r="C617" s="59">
        <f>IF(B617&lt;&gt;" ",CONCATENATE(A617,B617)," ")</f>
        <v/>
      </c>
      <c r="D617" s="69" t="n"/>
      <c r="E617" s="72" t="n"/>
      <c r="F617" s="72" t="n"/>
      <c r="G617" s="72" t="n"/>
      <c r="H617" s="72" t="n"/>
      <c r="I617" s="72" t="n"/>
      <c r="J617" s="71" t="n"/>
      <c r="K617" s="73" t="n"/>
    </row>
    <row r="618">
      <c r="A618" s="62" t="inlineStr">
        <is>
          <t>P</t>
        </is>
      </c>
      <c r="B618" s="60">
        <f>IF(D618&gt;1/1/2001,B617+1," ")</f>
        <v/>
      </c>
      <c r="C618" s="59">
        <f>IF(B618&lt;&gt;" ",CONCATENATE(A618,B618)," ")</f>
        <v/>
      </c>
      <c r="D618" s="69" t="n"/>
      <c r="E618" s="72" t="n"/>
      <c r="F618" s="72" t="n"/>
      <c r="G618" s="72" t="n"/>
      <c r="H618" s="72" t="n"/>
      <c r="I618" s="72" t="n"/>
      <c r="J618" s="71" t="n"/>
      <c r="K618" s="73" t="n"/>
    </row>
    <row r="619">
      <c r="A619" s="62" t="inlineStr">
        <is>
          <t>P</t>
        </is>
      </c>
      <c r="B619" s="60">
        <f>IF(D619&gt;1/1/2001,B618+1," ")</f>
        <v/>
      </c>
      <c r="C619" s="59">
        <f>IF(B619&lt;&gt;" ",CONCATENATE(A619,B619)," ")</f>
        <v/>
      </c>
      <c r="D619" s="69" t="n"/>
      <c r="E619" s="72" t="n"/>
      <c r="F619" s="72" t="n"/>
      <c r="G619" s="72" t="n"/>
      <c r="H619" s="72" t="n"/>
      <c r="I619" s="72" t="n"/>
      <c r="J619" s="71" t="n"/>
      <c r="K619" s="73" t="n"/>
    </row>
    <row r="620">
      <c r="A620" s="62" t="inlineStr">
        <is>
          <t>P</t>
        </is>
      </c>
      <c r="B620" s="60">
        <f>IF(D620&gt;1/1/2001,B619+1," ")</f>
        <v/>
      </c>
      <c r="C620" s="59">
        <f>IF(B620&lt;&gt;" ",CONCATENATE(A620,B620)," ")</f>
        <v/>
      </c>
      <c r="D620" s="69" t="n"/>
      <c r="E620" s="72" t="n"/>
      <c r="F620" s="72" t="n"/>
      <c r="G620" s="72" t="n"/>
      <c r="H620" s="72" t="n"/>
      <c r="I620" s="72" t="n"/>
      <c r="J620" s="71" t="n"/>
      <c r="K620" s="73" t="n"/>
    </row>
    <row r="621">
      <c r="A621" s="62" t="inlineStr">
        <is>
          <t>P</t>
        </is>
      </c>
      <c r="B621" s="60">
        <f>IF(D621&gt;1/1/2001,B620+1," ")</f>
        <v/>
      </c>
      <c r="C621" s="59">
        <f>IF(B621&lt;&gt;" ",CONCATENATE(A621,B621)," ")</f>
        <v/>
      </c>
      <c r="D621" s="69" t="n"/>
      <c r="E621" s="72" t="n"/>
      <c r="F621" s="72" t="n"/>
      <c r="G621" s="72" t="n"/>
      <c r="H621" s="72" t="n"/>
      <c r="I621" s="72" t="n"/>
      <c r="J621" s="71" t="n"/>
      <c r="K621" s="73" t="n"/>
    </row>
    <row r="622">
      <c r="A622" s="62" t="inlineStr">
        <is>
          <t>P</t>
        </is>
      </c>
      <c r="B622" s="60">
        <f>IF(D622&gt;1/1/2001,B621+1," ")</f>
        <v/>
      </c>
      <c r="C622" s="59">
        <f>IF(B622&lt;&gt;" ",CONCATENATE(A622,B622)," ")</f>
        <v/>
      </c>
      <c r="D622" s="69" t="n"/>
      <c r="E622" s="72" t="n"/>
      <c r="F622" s="72" t="n"/>
      <c r="G622" s="72" t="n"/>
      <c r="H622" s="72" t="n"/>
      <c r="I622" s="72" t="n"/>
      <c r="J622" s="71" t="n"/>
      <c r="K622" s="73" t="n"/>
    </row>
    <row r="623">
      <c r="A623" s="62" t="inlineStr">
        <is>
          <t>P</t>
        </is>
      </c>
      <c r="B623" s="60">
        <f>IF(D623&gt;1/1/2001,B622+1," ")</f>
        <v/>
      </c>
      <c r="C623" s="59">
        <f>IF(B623&lt;&gt;" ",CONCATENATE(A623,B623)," ")</f>
        <v/>
      </c>
      <c r="D623" s="69" t="n"/>
      <c r="E623" s="72" t="n"/>
      <c r="F623" s="72" t="n"/>
      <c r="G623" s="72" t="n"/>
      <c r="H623" s="72" t="n"/>
      <c r="I623" s="72" t="n"/>
      <c r="J623" s="71" t="n"/>
      <c r="K623" s="73" t="n"/>
    </row>
    <row r="624">
      <c r="A624" s="62" t="inlineStr">
        <is>
          <t>P</t>
        </is>
      </c>
      <c r="B624" s="60">
        <f>IF(D624&gt;1/1/2001,B623+1," ")</f>
        <v/>
      </c>
      <c r="C624" s="59">
        <f>IF(B624&lt;&gt;" ",CONCATENATE(A624,B624)," ")</f>
        <v/>
      </c>
      <c r="D624" s="69" t="n"/>
      <c r="E624" s="72" t="n"/>
      <c r="F624" s="72" t="n"/>
      <c r="G624" s="72" t="n"/>
      <c r="H624" s="72" t="n"/>
      <c r="I624" s="72" t="n"/>
      <c r="J624" s="71" t="n"/>
      <c r="K624" s="73" t="n"/>
    </row>
    <row r="625">
      <c r="A625" s="62" t="inlineStr">
        <is>
          <t>P</t>
        </is>
      </c>
      <c r="B625" s="60">
        <f>IF(D625&gt;1/1/2001,B624+1," ")</f>
        <v/>
      </c>
      <c r="C625" s="59">
        <f>IF(B625&lt;&gt;" ",CONCATENATE(A625,B625)," ")</f>
        <v/>
      </c>
      <c r="D625" s="69" t="n"/>
      <c r="E625" s="72" t="n"/>
      <c r="F625" s="72" t="n"/>
      <c r="G625" s="72" t="n"/>
      <c r="H625" s="72" t="n"/>
      <c r="I625" s="72" t="n"/>
      <c r="J625" s="71" t="n"/>
      <c r="K625" s="73" t="n"/>
    </row>
    <row r="626">
      <c r="A626" s="62" t="inlineStr">
        <is>
          <t>P</t>
        </is>
      </c>
      <c r="B626" s="60">
        <f>IF(D626&gt;1/1/2001,B625+1," ")</f>
        <v/>
      </c>
      <c r="C626" s="59">
        <f>IF(B626&lt;&gt;" ",CONCATENATE(A626,B626)," ")</f>
        <v/>
      </c>
      <c r="D626" s="69" t="n"/>
      <c r="E626" s="72" t="n"/>
      <c r="F626" s="72" t="n"/>
      <c r="G626" s="72" t="n"/>
      <c r="H626" s="72" t="n"/>
      <c r="I626" s="72" t="n"/>
      <c r="J626" s="71" t="n"/>
      <c r="K626" s="73" t="n"/>
    </row>
    <row r="627">
      <c r="A627" s="62" t="inlineStr">
        <is>
          <t>P</t>
        </is>
      </c>
      <c r="B627" s="60">
        <f>IF(D627&gt;1/1/2001,B626+1," ")</f>
        <v/>
      </c>
      <c r="C627" s="59">
        <f>IF(B627&lt;&gt;" ",CONCATENATE(A627,B627)," ")</f>
        <v/>
      </c>
      <c r="D627" s="69" t="n"/>
      <c r="E627" s="72" t="n"/>
      <c r="F627" s="72" t="n"/>
      <c r="G627" s="72" t="n"/>
      <c r="H627" s="72" t="n"/>
      <c r="I627" s="72" t="n"/>
      <c r="J627" s="71" t="n"/>
      <c r="K627" s="73" t="n"/>
    </row>
    <row r="628">
      <c r="A628" s="62" t="inlineStr">
        <is>
          <t>P</t>
        </is>
      </c>
      <c r="B628" s="60">
        <f>IF(D628&gt;1/1/2001,B627+1," ")</f>
        <v/>
      </c>
      <c r="C628" s="59">
        <f>IF(B628&lt;&gt;" ",CONCATENATE(A628,B628)," ")</f>
        <v/>
      </c>
      <c r="D628" s="69" t="n"/>
      <c r="E628" s="72" t="n"/>
      <c r="F628" s="72" t="n"/>
      <c r="G628" s="72" t="n"/>
      <c r="H628" s="72" t="n"/>
      <c r="I628" s="72" t="n"/>
      <c r="J628" s="71" t="n"/>
      <c r="K628" s="73" t="n"/>
    </row>
    <row r="629">
      <c r="A629" s="62" t="inlineStr">
        <is>
          <t>P</t>
        </is>
      </c>
      <c r="B629" s="60">
        <f>IF(D629&gt;1/1/2001,B628+1," ")</f>
        <v/>
      </c>
      <c r="C629" s="59">
        <f>IF(B629&lt;&gt;" ",CONCATENATE(A629,B629)," ")</f>
        <v/>
      </c>
      <c r="D629" s="69" t="n"/>
      <c r="E629" s="72" t="n"/>
      <c r="F629" s="72" t="n"/>
      <c r="G629" s="72" t="n"/>
      <c r="H629" s="72" t="n"/>
      <c r="I629" s="72" t="n"/>
      <c r="J629" s="71" t="n"/>
      <c r="K629" s="73" t="n"/>
    </row>
    <row r="630">
      <c r="A630" s="62" t="inlineStr">
        <is>
          <t>P</t>
        </is>
      </c>
      <c r="B630" s="60">
        <f>IF(D630&gt;1/1/2001,B629+1," ")</f>
        <v/>
      </c>
      <c r="C630" s="59">
        <f>IF(B630&lt;&gt;" ",CONCATENATE(A630,B630)," ")</f>
        <v/>
      </c>
      <c r="D630" s="69" t="n"/>
      <c r="E630" s="72" t="n"/>
      <c r="F630" s="72" t="n"/>
      <c r="G630" s="72" t="n"/>
      <c r="H630" s="72" t="n"/>
      <c r="I630" s="72" t="n"/>
      <c r="J630" s="71" t="n"/>
      <c r="K630" s="73" t="n"/>
    </row>
    <row r="631">
      <c r="A631" s="62" t="inlineStr">
        <is>
          <t>P</t>
        </is>
      </c>
      <c r="B631" s="60">
        <f>IF(D631&gt;1/1/2001,B630+1," ")</f>
        <v/>
      </c>
      <c r="C631" s="59">
        <f>IF(B631&lt;&gt;" ",CONCATENATE(A631,B631)," ")</f>
        <v/>
      </c>
      <c r="D631" s="69" t="n"/>
      <c r="E631" s="72" t="n"/>
      <c r="F631" s="72" t="n"/>
      <c r="G631" s="72" t="n"/>
      <c r="H631" s="72" t="n"/>
      <c r="I631" s="72" t="n"/>
      <c r="J631" s="71" t="n"/>
      <c r="K631" s="73" t="n"/>
    </row>
    <row r="632">
      <c r="A632" s="62" t="inlineStr">
        <is>
          <t>P</t>
        </is>
      </c>
      <c r="B632" s="60">
        <f>IF(D632&gt;1/1/2001,B631+1," ")</f>
        <v/>
      </c>
      <c r="C632" s="59">
        <f>IF(B632&lt;&gt;" ",CONCATENATE(A632,B632)," ")</f>
        <v/>
      </c>
      <c r="D632" s="69" t="n"/>
      <c r="E632" s="72" t="n"/>
      <c r="F632" s="72" t="n"/>
      <c r="G632" s="72" t="n"/>
      <c r="H632" s="72" t="n"/>
      <c r="I632" s="72" t="n"/>
      <c r="J632" s="71" t="n"/>
      <c r="K632" s="73" t="n"/>
    </row>
    <row r="633">
      <c r="A633" s="62" t="inlineStr">
        <is>
          <t>P</t>
        </is>
      </c>
      <c r="B633" s="60">
        <f>IF(D633&gt;1/1/2001,B632+1," ")</f>
        <v/>
      </c>
      <c r="C633" s="59">
        <f>IF(B633&lt;&gt;" ",CONCATENATE(A633,B633)," ")</f>
        <v/>
      </c>
      <c r="D633" s="69" t="n"/>
      <c r="E633" s="72" t="n"/>
      <c r="F633" s="72" t="n"/>
      <c r="G633" s="72" t="n"/>
      <c r="H633" s="72" t="n"/>
      <c r="I633" s="72" t="n"/>
      <c r="J633" s="71" t="n"/>
      <c r="K633" s="73" t="n"/>
    </row>
    <row r="634">
      <c r="A634" s="62" t="inlineStr">
        <is>
          <t>P</t>
        </is>
      </c>
      <c r="B634" s="60">
        <f>IF(D634&gt;1/1/2001,B633+1," ")</f>
        <v/>
      </c>
      <c r="C634" s="59">
        <f>IF(B634&lt;&gt;" ",CONCATENATE(A634,B634)," ")</f>
        <v/>
      </c>
      <c r="D634" s="69" t="n"/>
      <c r="E634" s="72" t="n"/>
      <c r="F634" s="72" t="n"/>
      <c r="G634" s="72" t="n"/>
      <c r="H634" s="72" t="n"/>
      <c r="I634" s="72" t="n"/>
      <c r="J634" s="71" t="n"/>
      <c r="K634" s="73" t="n"/>
    </row>
    <row r="635">
      <c r="A635" s="62" t="inlineStr">
        <is>
          <t>P</t>
        </is>
      </c>
      <c r="B635" s="60">
        <f>IF(D635&gt;1/1/2001,B634+1," ")</f>
        <v/>
      </c>
      <c r="C635" s="59">
        <f>IF(B635&lt;&gt;" ",CONCATENATE(A635,B635)," ")</f>
        <v/>
      </c>
      <c r="D635" s="69" t="n"/>
      <c r="E635" s="72" t="n"/>
      <c r="F635" s="72" t="n"/>
      <c r="G635" s="72" t="n"/>
      <c r="H635" s="72" t="n"/>
      <c r="I635" s="72" t="n"/>
      <c r="J635" s="71" t="n"/>
      <c r="K635" s="73" t="n"/>
    </row>
    <row r="636">
      <c r="A636" s="62" t="inlineStr">
        <is>
          <t>P</t>
        </is>
      </c>
      <c r="B636" s="60">
        <f>IF(D636&gt;1/1/2001,B635+1," ")</f>
        <v/>
      </c>
      <c r="C636" s="59">
        <f>IF(B636&lt;&gt;" ",CONCATENATE(A636,B636)," ")</f>
        <v/>
      </c>
      <c r="D636" s="69" t="n"/>
      <c r="E636" s="72" t="n"/>
      <c r="F636" s="72" t="n"/>
      <c r="G636" s="72" t="n"/>
      <c r="H636" s="72" t="n"/>
      <c r="I636" s="72" t="n"/>
      <c r="J636" s="71" t="n"/>
      <c r="K636" s="73" t="n"/>
    </row>
    <row r="637">
      <c r="A637" s="62" t="inlineStr">
        <is>
          <t>P</t>
        </is>
      </c>
      <c r="B637" s="60">
        <f>IF(D637&gt;1/1/2001,B636+1," ")</f>
        <v/>
      </c>
      <c r="C637" s="59">
        <f>IF(B637&lt;&gt;" ",CONCATENATE(A637,B637)," ")</f>
        <v/>
      </c>
      <c r="D637" s="69" t="n"/>
      <c r="E637" s="72" t="n"/>
      <c r="F637" s="72" t="n"/>
      <c r="G637" s="72" t="n"/>
      <c r="H637" s="72" t="n"/>
      <c r="I637" s="72" t="n"/>
      <c r="J637" s="71" t="n"/>
      <c r="K637" s="73" t="n"/>
    </row>
    <row r="638">
      <c r="A638" s="62" t="inlineStr">
        <is>
          <t>P</t>
        </is>
      </c>
      <c r="B638" s="60">
        <f>IF(D638&gt;1/1/2001,B637+1," ")</f>
        <v/>
      </c>
      <c r="C638" s="59">
        <f>IF(B638&lt;&gt;" ",CONCATENATE(A638,B638)," ")</f>
        <v/>
      </c>
      <c r="D638" s="69" t="n"/>
      <c r="E638" s="72" t="n"/>
      <c r="F638" s="72" t="n"/>
      <c r="G638" s="72" t="n"/>
      <c r="H638" s="72" t="n"/>
      <c r="I638" s="72" t="n"/>
      <c r="J638" s="71" t="n"/>
      <c r="K638" s="73" t="n"/>
    </row>
    <row r="639">
      <c r="A639" s="62" t="inlineStr">
        <is>
          <t>P</t>
        </is>
      </c>
      <c r="B639" s="60">
        <f>IF(D639&gt;1/1/2001,B638+1," ")</f>
        <v/>
      </c>
      <c r="C639" s="59">
        <f>IF(B639&lt;&gt;" ",CONCATENATE(A639,B639)," ")</f>
        <v/>
      </c>
      <c r="D639" s="69" t="n"/>
      <c r="E639" s="72" t="n"/>
      <c r="F639" s="72" t="n"/>
      <c r="G639" s="72" t="n"/>
      <c r="H639" s="72" t="n"/>
      <c r="I639" s="72" t="n"/>
      <c r="J639" s="71" t="n"/>
      <c r="K639" s="73" t="n"/>
    </row>
    <row r="640">
      <c r="A640" s="62" t="inlineStr">
        <is>
          <t>P</t>
        </is>
      </c>
      <c r="B640" s="60">
        <f>IF(D640&gt;1/1/2001,B639+1," ")</f>
        <v/>
      </c>
      <c r="C640" s="59">
        <f>IF(B640&lt;&gt;" ",CONCATENATE(A640,B640)," ")</f>
        <v/>
      </c>
      <c r="D640" s="69" t="n"/>
      <c r="E640" s="72" t="n"/>
      <c r="F640" s="72" t="n"/>
      <c r="G640" s="72" t="n"/>
      <c r="H640" s="72" t="n"/>
      <c r="I640" s="72" t="n"/>
      <c r="J640" s="71" t="n"/>
      <c r="K640" s="73" t="n"/>
    </row>
    <row r="641">
      <c r="A641" s="62" t="inlineStr">
        <is>
          <t>P</t>
        </is>
      </c>
      <c r="B641" s="60">
        <f>IF(D641&gt;1/1/2001,B640+1," ")</f>
        <v/>
      </c>
      <c r="C641" s="59">
        <f>IF(B641&lt;&gt;" ",CONCATENATE(A641,B641)," ")</f>
        <v/>
      </c>
      <c r="D641" s="69" t="n"/>
      <c r="E641" s="72" t="n"/>
      <c r="F641" s="72" t="n"/>
      <c r="G641" s="72" t="n"/>
      <c r="H641" s="72" t="n"/>
      <c r="I641" s="72" t="n"/>
      <c r="J641" s="71" t="n"/>
      <c r="K641" s="73" t="n"/>
    </row>
    <row r="642">
      <c r="A642" s="62" t="inlineStr">
        <is>
          <t>P</t>
        </is>
      </c>
      <c r="B642" s="60">
        <f>IF(D642&gt;1/1/2001,B641+1," ")</f>
        <v/>
      </c>
      <c r="C642" s="59">
        <f>IF(B642&lt;&gt;" ",CONCATENATE(A642,B642)," ")</f>
        <v/>
      </c>
      <c r="D642" s="69" t="n"/>
      <c r="E642" s="72" t="n"/>
      <c r="F642" s="72" t="n"/>
      <c r="G642" s="72" t="n"/>
      <c r="H642" s="72" t="n"/>
      <c r="I642" s="72" t="n"/>
      <c r="J642" s="71" t="n"/>
      <c r="K642" s="73" t="n"/>
    </row>
    <row r="643">
      <c r="A643" s="62" t="inlineStr">
        <is>
          <t>P</t>
        </is>
      </c>
      <c r="B643" s="60">
        <f>IF(D643&gt;1/1/2001,B642+1," ")</f>
        <v/>
      </c>
      <c r="C643" s="59">
        <f>IF(B643&lt;&gt;" ",CONCATENATE(A643,B643)," ")</f>
        <v/>
      </c>
      <c r="D643" s="69" t="n"/>
      <c r="E643" s="72" t="n"/>
      <c r="F643" s="72" t="n"/>
      <c r="G643" s="72" t="n"/>
      <c r="H643" s="72" t="n"/>
      <c r="I643" s="72" t="n"/>
      <c r="J643" s="71" t="n"/>
      <c r="K643" s="73" t="n"/>
    </row>
    <row r="644">
      <c r="A644" s="62" t="inlineStr">
        <is>
          <t>P</t>
        </is>
      </c>
      <c r="B644" s="60">
        <f>IF(D644&gt;1/1/2001,B643+1," ")</f>
        <v/>
      </c>
      <c r="C644" s="59">
        <f>IF(B644&lt;&gt;" ",CONCATENATE(A644,B644)," ")</f>
        <v/>
      </c>
      <c r="D644" s="69" t="n"/>
      <c r="E644" s="72" t="n"/>
      <c r="F644" s="72" t="n"/>
      <c r="G644" s="72" t="n"/>
      <c r="H644" s="72" t="n"/>
      <c r="I644" s="72" t="n"/>
      <c r="J644" s="71" t="n"/>
      <c r="K644" s="73" t="n"/>
    </row>
    <row r="645">
      <c r="A645" s="62" t="inlineStr">
        <is>
          <t>P</t>
        </is>
      </c>
      <c r="B645" s="60">
        <f>IF(D645&gt;1/1/2001,B644+1," ")</f>
        <v/>
      </c>
      <c r="C645" s="59">
        <f>IF(B645&lt;&gt;" ",CONCATENATE(A645,B645)," ")</f>
        <v/>
      </c>
      <c r="D645" s="69" t="n"/>
      <c r="E645" s="72" t="n"/>
      <c r="F645" s="72" t="n"/>
      <c r="G645" s="72" t="n"/>
      <c r="H645" s="72" t="n"/>
      <c r="I645" s="72" t="n"/>
      <c r="J645" s="71" t="n"/>
      <c r="K645" s="73" t="n"/>
    </row>
    <row r="646">
      <c r="A646" s="62" t="inlineStr">
        <is>
          <t>P</t>
        </is>
      </c>
      <c r="B646" s="60">
        <f>IF(D646&gt;1/1/2001,B645+1," ")</f>
        <v/>
      </c>
      <c r="C646" s="59">
        <f>IF(B646&lt;&gt;" ",CONCATENATE(A646,B646)," ")</f>
        <v/>
      </c>
      <c r="D646" s="69" t="n"/>
      <c r="E646" s="72" t="n"/>
      <c r="F646" s="72" t="n"/>
      <c r="G646" s="72" t="n"/>
      <c r="H646" s="72" t="n"/>
      <c r="I646" s="72" t="n"/>
      <c r="J646" s="71" t="n"/>
      <c r="K646" s="73" t="n"/>
    </row>
    <row r="647">
      <c r="A647" s="62" t="inlineStr">
        <is>
          <t>P</t>
        </is>
      </c>
      <c r="B647" s="60">
        <f>IF(D647&gt;1/1/2001,B646+1," ")</f>
        <v/>
      </c>
      <c r="C647" s="59">
        <f>IF(B647&lt;&gt;" ",CONCATENATE(A647,B647)," ")</f>
        <v/>
      </c>
      <c r="D647" s="69" t="n"/>
      <c r="E647" s="72" t="n"/>
      <c r="F647" s="72" t="n"/>
      <c r="G647" s="72" t="n"/>
      <c r="H647" s="72" t="n"/>
      <c r="I647" s="72" t="n"/>
      <c r="J647" s="71" t="n"/>
      <c r="K647" s="73" t="n"/>
    </row>
    <row r="648">
      <c r="A648" s="62" t="inlineStr">
        <is>
          <t>P</t>
        </is>
      </c>
      <c r="B648" s="60">
        <f>IF(D648&gt;1/1/2001,B647+1," ")</f>
        <v/>
      </c>
      <c r="C648" s="59">
        <f>IF(B648&lt;&gt;" ",CONCATENATE(A648,B648)," ")</f>
        <v/>
      </c>
      <c r="D648" s="69" t="n"/>
      <c r="E648" s="72" t="n"/>
      <c r="F648" s="72" t="n"/>
      <c r="G648" s="72" t="n"/>
      <c r="H648" s="72" t="n"/>
      <c r="I648" s="72" t="n"/>
      <c r="J648" s="71" t="n"/>
      <c r="K648" s="73" t="n"/>
    </row>
    <row r="649">
      <c r="A649" s="62" t="inlineStr">
        <is>
          <t>P</t>
        </is>
      </c>
      <c r="B649" s="60">
        <f>IF(D649&gt;1/1/2001,B648+1," ")</f>
        <v/>
      </c>
      <c r="C649" s="59">
        <f>IF(B649&lt;&gt;" ",CONCATENATE(A649,B649)," ")</f>
        <v/>
      </c>
      <c r="D649" s="69" t="n"/>
      <c r="E649" s="72" t="n"/>
      <c r="F649" s="72" t="n"/>
      <c r="G649" s="72" t="n"/>
      <c r="H649" s="72" t="n"/>
      <c r="I649" s="72" t="n"/>
      <c r="J649" s="71" t="n"/>
      <c r="K649" s="73" t="n"/>
    </row>
    <row r="650">
      <c r="A650" s="62" t="inlineStr">
        <is>
          <t>P</t>
        </is>
      </c>
      <c r="B650" s="60">
        <f>IF(D650&gt;1/1/2001,B649+1," ")</f>
        <v/>
      </c>
      <c r="C650" s="59">
        <f>IF(B650&lt;&gt;" ",CONCATENATE(A650,B650)," ")</f>
        <v/>
      </c>
      <c r="D650" s="69" t="n"/>
      <c r="E650" s="72" t="n"/>
      <c r="F650" s="72" t="n"/>
      <c r="G650" s="72" t="n"/>
      <c r="H650" s="72" t="n"/>
      <c r="I650" s="72" t="n"/>
      <c r="J650" s="71" t="n"/>
      <c r="K650" s="73" t="n"/>
    </row>
    <row r="651">
      <c r="A651" s="62" t="inlineStr">
        <is>
          <t>P</t>
        </is>
      </c>
      <c r="B651" s="60">
        <f>IF(D651&gt;1/1/2001,B650+1," ")</f>
        <v/>
      </c>
      <c r="C651" s="59">
        <f>IF(B651&lt;&gt;" ",CONCATENATE(A651,B651)," ")</f>
        <v/>
      </c>
      <c r="D651" s="69" t="n"/>
      <c r="E651" s="72" t="n"/>
      <c r="F651" s="72" t="n"/>
      <c r="G651" s="72" t="n"/>
      <c r="H651" s="72" t="n"/>
      <c r="I651" s="72" t="n"/>
      <c r="J651" s="71" t="n"/>
      <c r="K651" s="73" t="n"/>
    </row>
    <row r="652">
      <c r="A652" s="62" t="inlineStr">
        <is>
          <t>P</t>
        </is>
      </c>
      <c r="B652" s="60">
        <f>IF(D652&gt;1/1/2001,B651+1," ")</f>
        <v/>
      </c>
      <c r="C652" s="59">
        <f>IF(B652&lt;&gt;" ",CONCATENATE(A652,B652)," ")</f>
        <v/>
      </c>
      <c r="D652" s="69" t="n"/>
      <c r="E652" s="72" t="n"/>
      <c r="F652" s="72" t="n"/>
      <c r="G652" s="72" t="n"/>
      <c r="H652" s="72" t="n"/>
      <c r="I652" s="72" t="n"/>
      <c r="J652" s="71" t="n"/>
      <c r="K652" s="73" t="n"/>
    </row>
    <row r="653">
      <c r="A653" s="62" t="inlineStr">
        <is>
          <t>P</t>
        </is>
      </c>
      <c r="B653" s="60">
        <f>IF(D653&gt;1/1/2001,B652+1," ")</f>
        <v/>
      </c>
      <c r="C653" s="59">
        <f>IF(B653&lt;&gt;" ",CONCATENATE(A653,B653)," ")</f>
        <v/>
      </c>
      <c r="D653" s="69" t="n"/>
      <c r="E653" s="72" t="n"/>
      <c r="F653" s="72" t="n"/>
      <c r="G653" s="72" t="n"/>
      <c r="H653" s="72" t="n"/>
      <c r="I653" s="72" t="n"/>
      <c r="J653" s="71" t="n"/>
      <c r="K653" s="73" t="n"/>
    </row>
    <row r="654">
      <c r="A654" s="62" t="inlineStr">
        <is>
          <t>P</t>
        </is>
      </c>
      <c r="B654" s="60">
        <f>IF(D654&gt;1/1/2001,B653+1," ")</f>
        <v/>
      </c>
      <c r="C654" s="59">
        <f>IF(B654&lt;&gt;" ",CONCATENATE(A654,B654)," ")</f>
        <v/>
      </c>
      <c r="D654" s="69" t="n"/>
      <c r="E654" s="72" t="n"/>
      <c r="F654" s="72" t="n"/>
      <c r="G654" s="72" t="n"/>
      <c r="H654" s="72" t="n"/>
      <c r="I654" s="72" t="n"/>
      <c r="J654" s="71" t="n"/>
      <c r="K654" s="73" t="n"/>
    </row>
    <row r="655">
      <c r="A655" s="62" t="inlineStr">
        <is>
          <t>P</t>
        </is>
      </c>
      <c r="B655" s="60">
        <f>IF(D655&gt;1/1/2001,B654+1," ")</f>
        <v/>
      </c>
      <c r="C655" s="59">
        <f>IF(B655&lt;&gt;" ",CONCATENATE(A655,B655)," ")</f>
        <v/>
      </c>
      <c r="D655" s="69" t="n"/>
      <c r="E655" s="72" t="n"/>
      <c r="F655" s="72" t="n"/>
      <c r="G655" s="72" t="n"/>
      <c r="H655" s="72" t="n"/>
      <c r="I655" s="72" t="n"/>
      <c r="J655" s="71" t="n"/>
      <c r="K655" s="73" t="n"/>
    </row>
    <row r="656">
      <c r="A656" s="62" t="inlineStr">
        <is>
          <t>P</t>
        </is>
      </c>
      <c r="B656" s="60">
        <f>IF(D656&gt;1/1/2001,B655+1," ")</f>
        <v/>
      </c>
      <c r="C656" s="59">
        <f>IF(B656&lt;&gt;" ",CONCATENATE(A656,B656)," ")</f>
        <v/>
      </c>
      <c r="D656" s="69" t="n"/>
      <c r="E656" s="72" t="n"/>
      <c r="F656" s="72" t="n"/>
      <c r="G656" s="72" t="n"/>
      <c r="H656" s="72" t="n"/>
      <c r="I656" s="72" t="n"/>
      <c r="J656" s="71" t="n"/>
      <c r="K656" s="73" t="n"/>
    </row>
    <row r="657">
      <c r="A657" s="62" t="inlineStr">
        <is>
          <t>P</t>
        </is>
      </c>
      <c r="B657" s="60">
        <f>IF(D657&gt;1/1/2001,B656+1," ")</f>
        <v/>
      </c>
      <c r="C657" s="59">
        <f>IF(B657&lt;&gt;" ",CONCATENATE(A657,B657)," ")</f>
        <v/>
      </c>
      <c r="D657" s="69" t="n"/>
      <c r="E657" s="72" t="n"/>
      <c r="F657" s="72" t="n"/>
      <c r="G657" s="72" t="n"/>
      <c r="H657" s="72" t="n"/>
      <c r="I657" s="72" t="n"/>
      <c r="J657" s="71" t="n"/>
      <c r="K657" s="73" t="n"/>
    </row>
    <row r="658">
      <c r="A658" s="62" t="inlineStr">
        <is>
          <t>P</t>
        </is>
      </c>
      <c r="B658" s="60">
        <f>IF(D658&gt;1/1/2001,B657+1," ")</f>
        <v/>
      </c>
      <c r="C658" s="59">
        <f>IF(B658&lt;&gt;" ",CONCATENATE(A658,B658)," ")</f>
        <v/>
      </c>
      <c r="D658" s="69" t="n"/>
      <c r="E658" s="72" t="n"/>
      <c r="F658" s="72" t="n"/>
      <c r="G658" s="72" t="n"/>
      <c r="H658" s="72" t="n"/>
      <c r="I658" s="72" t="n"/>
      <c r="J658" s="71" t="n"/>
      <c r="K658" s="73" t="n"/>
    </row>
    <row r="659">
      <c r="A659" s="62" t="inlineStr">
        <is>
          <t>P</t>
        </is>
      </c>
      <c r="B659" s="60">
        <f>IF(D659&gt;1/1/2001,B658+1," ")</f>
        <v/>
      </c>
      <c r="C659" s="59">
        <f>IF(B659&lt;&gt;" ",CONCATENATE(A659,B659)," ")</f>
        <v/>
      </c>
      <c r="D659" s="69" t="n"/>
      <c r="E659" s="72" t="n"/>
      <c r="F659" s="72" t="n"/>
      <c r="G659" s="72" t="n"/>
      <c r="H659" s="72" t="n"/>
      <c r="I659" s="72" t="n"/>
      <c r="J659" s="71" t="n"/>
      <c r="K659" s="73" t="n"/>
    </row>
    <row r="660">
      <c r="A660" s="62" t="inlineStr">
        <is>
          <t>P</t>
        </is>
      </c>
      <c r="B660" s="60">
        <f>IF(D660&gt;1/1/2001,B659+1," ")</f>
        <v/>
      </c>
      <c r="C660" s="59">
        <f>IF(B660&lt;&gt;" ",CONCATENATE(A660,B660)," ")</f>
        <v/>
      </c>
      <c r="D660" s="69" t="n"/>
      <c r="E660" s="72" t="n"/>
      <c r="F660" s="72" t="n"/>
      <c r="G660" s="72" t="n"/>
      <c r="H660" s="72" t="n"/>
      <c r="I660" s="72" t="n"/>
      <c r="J660" s="71" t="n"/>
      <c r="K660" s="73" t="n"/>
    </row>
    <row r="661">
      <c r="A661" s="62" t="inlineStr">
        <is>
          <t>P</t>
        </is>
      </c>
      <c r="B661" s="60">
        <f>IF(D661&gt;1/1/2001,B660+1," ")</f>
        <v/>
      </c>
      <c r="C661" s="59">
        <f>IF(B661&lt;&gt;" ",CONCATENATE(A661,B661)," ")</f>
        <v/>
      </c>
      <c r="D661" s="69" t="n"/>
      <c r="E661" s="72" t="n"/>
      <c r="F661" s="72" t="n"/>
      <c r="G661" s="72" t="n"/>
      <c r="H661" s="72" t="n"/>
      <c r="I661" s="72" t="n"/>
      <c r="J661" s="71" t="n"/>
      <c r="K661" s="73" t="n"/>
    </row>
    <row r="662">
      <c r="A662" s="62" t="inlineStr">
        <is>
          <t>P</t>
        </is>
      </c>
      <c r="B662" s="60">
        <f>IF(D662&gt;1/1/2001,B661+1," ")</f>
        <v/>
      </c>
      <c r="C662" s="59">
        <f>IF(B662&lt;&gt;" ",CONCATENATE(A662,B662)," ")</f>
        <v/>
      </c>
      <c r="D662" s="69" t="n"/>
      <c r="E662" s="72" t="n"/>
      <c r="F662" s="72" t="n"/>
      <c r="G662" s="72" t="n"/>
      <c r="H662" s="72" t="n"/>
      <c r="I662" s="72" t="n"/>
      <c r="J662" s="71" t="n"/>
      <c r="K662" s="73" t="n"/>
    </row>
    <row r="663">
      <c r="A663" s="62" t="inlineStr">
        <is>
          <t>P</t>
        </is>
      </c>
      <c r="B663" s="60">
        <f>IF(D663&gt;1/1/2001,B662+1," ")</f>
        <v/>
      </c>
      <c r="C663" s="59">
        <f>IF(B663&lt;&gt;" ",CONCATENATE(A663,B663)," ")</f>
        <v/>
      </c>
      <c r="D663" s="69" t="n"/>
      <c r="E663" s="72" t="n"/>
      <c r="F663" s="72" t="n"/>
      <c r="G663" s="72" t="n"/>
      <c r="H663" s="72" t="n"/>
      <c r="I663" s="72" t="n"/>
      <c r="J663" s="71" t="n"/>
      <c r="K663" s="73" t="n"/>
    </row>
    <row r="664">
      <c r="A664" s="62" t="inlineStr">
        <is>
          <t>P</t>
        </is>
      </c>
      <c r="B664" s="60">
        <f>IF(D664&gt;1/1/2001,B663+1," ")</f>
        <v/>
      </c>
      <c r="C664" s="59">
        <f>IF(B664&lt;&gt;" ",CONCATENATE(A664,B664)," ")</f>
        <v/>
      </c>
      <c r="D664" s="69" t="n"/>
      <c r="E664" s="72" t="n"/>
      <c r="F664" s="72" t="n"/>
      <c r="G664" s="72" t="n"/>
      <c r="H664" s="72" t="n"/>
      <c r="I664" s="72" t="n"/>
      <c r="J664" s="71" t="n"/>
      <c r="K664" s="73" t="n"/>
    </row>
    <row r="665">
      <c r="A665" s="62" t="inlineStr">
        <is>
          <t>P</t>
        </is>
      </c>
      <c r="B665" s="60">
        <f>IF(D665&gt;1/1/2001,B664+1," ")</f>
        <v/>
      </c>
      <c r="C665" s="59">
        <f>IF(B665&lt;&gt;" ",CONCATENATE(A665,B665)," ")</f>
        <v/>
      </c>
      <c r="D665" s="69" t="n"/>
      <c r="E665" s="72" t="n"/>
      <c r="F665" s="72" t="n"/>
      <c r="G665" s="72" t="n"/>
      <c r="H665" s="72" t="n"/>
      <c r="I665" s="72" t="n"/>
      <c r="J665" s="71" t="n"/>
      <c r="K665" s="73" t="n"/>
    </row>
    <row r="666">
      <c r="A666" s="62" t="inlineStr">
        <is>
          <t>P</t>
        </is>
      </c>
      <c r="B666" s="60">
        <f>IF(D666&gt;1/1/2001,B665+1," ")</f>
        <v/>
      </c>
      <c r="C666" s="59">
        <f>IF(B666&lt;&gt;" ",CONCATENATE(A666,B666)," ")</f>
        <v/>
      </c>
      <c r="D666" s="69" t="n"/>
      <c r="E666" s="72" t="n"/>
      <c r="F666" s="72" t="n"/>
      <c r="G666" s="72" t="n"/>
      <c r="H666" s="72" t="n"/>
      <c r="I666" s="72" t="n"/>
      <c r="J666" s="71" t="n"/>
      <c r="K666" s="73" t="n"/>
    </row>
    <row r="667">
      <c r="A667" s="62" t="inlineStr">
        <is>
          <t>P</t>
        </is>
      </c>
      <c r="B667" s="60">
        <f>IF(D667&gt;1/1/2001,B666+1," ")</f>
        <v/>
      </c>
      <c r="C667" s="59">
        <f>IF(B667&lt;&gt;" ",CONCATENATE(A667,B667)," ")</f>
        <v/>
      </c>
      <c r="D667" s="69" t="n"/>
      <c r="E667" s="72" t="n"/>
      <c r="F667" s="72" t="n"/>
      <c r="G667" s="72" t="n"/>
      <c r="H667" s="72" t="n"/>
      <c r="I667" s="72" t="n"/>
      <c r="J667" s="71" t="n"/>
      <c r="K667" s="73" t="n"/>
    </row>
    <row r="668">
      <c r="A668" s="62" t="inlineStr">
        <is>
          <t>P</t>
        </is>
      </c>
      <c r="B668" s="60">
        <f>IF(D668&gt;1/1/2001,B667+1," ")</f>
        <v/>
      </c>
      <c r="C668" s="59">
        <f>IF(B668&lt;&gt;" ",CONCATENATE(A668,B668)," ")</f>
        <v/>
      </c>
      <c r="D668" s="69" t="n"/>
      <c r="E668" s="72" t="n"/>
      <c r="F668" s="72" t="n"/>
      <c r="G668" s="72" t="n"/>
      <c r="H668" s="72" t="n"/>
      <c r="I668" s="72" t="n"/>
      <c r="J668" s="71" t="n"/>
      <c r="K668" s="73" t="n"/>
    </row>
    <row r="669">
      <c r="A669" s="62" t="inlineStr">
        <is>
          <t>P</t>
        </is>
      </c>
      <c r="B669" s="60">
        <f>IF(D669&gt;1/1/2001,B668+1," ")</f>
        <v/>
      </c>
      <c r="C669" s="59">
        <f>IF(B669&lt;&gt;" ",CONCATENATE(A669,B669)," ")</f>
        <v/>
      </c>
      <c r="D669" s="69" t="n"/>
      <c r="E669" s="72" t="n"/>
      <c r="F669" s="72" t="n"/>
      <c r="G669" s="72" t="n"/>
      <c r="H669" s="72" t="n"/>
      <c r="I669" s="72" t="n"/>
      <c r="J669" s="71" t="n"/>
      <c r="K669" s="73" t="n"/>
    </row>
    <row r="670">
      <c r="A670" s="62" t="inlineStr">
        <is>
          <t>P</t>
        </is>
      </c>
      <c r="B670" s="60">
        <f>IF(D670&gt;1/1/2001,B669+1," ")</f>
        <v/>
      </c>
      <c r="C670" s="59">
        <f>IF(B670&lt;&gt;" ",CONCATENATE(A670,B670)," ")</f>
        <v/>
      </c>
      <c r="D670" s="69" t="n"/>
      <c r="E670" s="72" t="n"/>
      <c r="F670" s="72" t="n"/>
      <c r="G670" s="72" t="n"/>
      <c r="H670" s="72" t="n"/>
      <c r="I670" s="72" t="n"/>
      <c r="J670" s="71" t="n"/>
      <c r="K670" s="73" t="n"/>
    </row>
    <row r="671">
      <c r="A671" s="62" t="inlineStr">
        <is>
          <t>P</t>
        </is>
      </c>
      <c r="B671" s="60">
        <f>IF(D671&gt;1/1/2001,B670+1," ")</f>
        <v/>
      </c>
      <c r="C671" s="59">
        <f>IF(B671&lt;&gt;" ",CONCATENATE(A671,B671)," ")</f>
        <v/>
      </c>
      <c r="D671" s="69" t="n"/>
      <c r="E671" s="72" t="n"/>
      <c r="F671" s="72" t="n"/>
      <c r="G671" s="72" t="n"/>
      <c r="H671" s="72" t="n"/>
      <c r="I671" s="72" t="n"/>
      <c r="J671" s="71" t="n"/>
      <c r="K671" s="73" t="n"/>
    </row>
    <row r="672">
      <c r="A672" s="62" t="inlineStr">
        <is>
          <t>P</t>
        </is>
      </c>
      <c r="B672" s="60">
        <f>IF(D672&gt;1/1/2001,B671+1," ")</f>
        <v/>
      </c>
      <c r="C672" s="59">
        <f>IF(B672&lt;&gt;" ",CONCATENATE(A672,B672)," ")</f>
        <v/>
      </c>
      <c r="D672" s="69" t="n"/>
      <c r="E672" s="72" t="n"/>
      <c r="F672" s="72" t="n"/>
      <c r="G672" s="72" t="n"/>
      <c r="H672" s="72" t="n"/>
      <c r="I672" s="72" t="n"/>
      <c r="J672" s="71" t="n"/>
      <c r="K672" s="73" t="n"/>
    </row>
    <row r="673">
      <c r="A673" s="62" t="inlineStr">
        <is>
          <t>P</t>
        </is>
      </c>
      <c r="B673" s="60">
        <f>IF(D673&gt;1/1/2001,B672+1," ")</f>
        <v/>
      </c>
      <c r="C673" s="59">
        <f>IF(B673&lt;&gt;" ",CONCATENATE(A673,B673)," ")</f>
        <v/>
      </c>
      <c r="D673" s="69" t="n"/>
      <c r="E673" s="72" t="n"/>
      <c r="F673" s="72" t="n"/>
      <c r="G673" s="72" t="n"/>
      <c r="H673" s="72" t="n"/>
      <c r="I673" s="72" t="n"/>
      <c r="J673" s="71" t="n"/>
      <c r="K673" s="73" t="n"/>
    </row>
    <row r="674">
      <c r="A674" s="62" t="inlineStr">
        <is>
          <t>P</t>
        </is>
      </c>
      <c r="B674" s="60">
        <f>IF(D674&gt;1/1/2001,B673+1," ")</f>
        <v/>
      </c>
      <c r="C674" s="59">
        <f>IF(B674&lt;&gt;" ",CONCATENATE(A674,B674)," ")</f>
        <v/>
      </c>
      <c r="D674" s="69" t="n"/>
      <c r="E674" s="72" t="n"/>
      <c r="F674" s="72" t="n"/>
      <c r="G674" s="72" t="n"/>
      <c r="H674" s="72" t="n"/>
      <c r="I674" s="72" t="n"/>
      <c r="J674" s="71" t="n"/>
      <c r="K674" s="73" t="n"/>
    </row>
    <row r="675">
      <c r="A675" s="62" t="inlineStr">
        <is>
          <t>P</t>
        </is>
      </c>
      <c r="B675" s="60">
        <f>IF(D675&gt;1/1/2001,B674+1," ")</f>
        <v/>
      </c>
      <c r="C675" s="59">
        <f>IF(B675&lt;&gt;" ",CONCATENATE(A675,B675)," ")</f>
        <v/>
      </c>
      <c r="D675" s="69" t="n"/>
      <c r="E675" s="72" t="n"/>
      <c r="F675" s="72" t="n"/>
      <c r="G675" s="72" t="n"/>
      <c r="H675" s="72" t="n"/>
      <c r="I675" s="72" t="n"/>
      <c r="J675" s="71" t="n"/>
      <c r="K675" s="73" t="n"/>
    </row>
    <row r="676">
      <c r="A676" s="62" t="inlineStr">
        <is>
          <t>P</t>
        </is>
      </c>
      <c r="B676" s="60">
        <f>IF(D676&gt;1/1/2001,B675+1," ")</f>
        <v/>
      </c>
      <c r="C676" s="59">
        <f>IF(B676&lt;&gt;" ",CONCATENATE(A676,B676)," ")</f>
        <v/>
      </c>
      <c r="D676" s="69" t="n"/>
      <c r="E676" s="72" t="n"/>
      <c r="F676" s="72" t="n"/>
      <c r="G676" s="72" t="n"/>
      <c r="H676" s="72" t="n"/>
      <c r="I676" s="72" t="n"/>
      <c r="J676" s="71" t="n"/>
      <c r="K676" s="73" t="n"/>
    </row>
    <row r="677">
      <c r="A677" s="62" t="inlineStr">
        <is>
          <t>P</t>
        </is>
      </c>
      <c r="B677" s="60">
        <f>IF(D677&gt;1/1/2001,B676+1," ")</f>
        <v/>
      </c>
      <c r="C677" s="59">
        <f>IF(B677&lt;&gt;" ",CONCATENATE(A677,B677)," ")</f>
        <v/>
      </c>
      <c r="D677" s="69" t="n"/>
      <c r="E677" s="72" t="n"/>
      <c r="F677" s="72" t="n"/>
      <c r="G677" s="72" t="n"/>
      <c r="H677" s="72" t="n"/>
      <c r="I677" s="72" t="n"/>
      <c r="J677" s="71" t="n"/>
      <c r="K677" s="73" t="n"/>
    </row>
    <row r="678">
      <c r="A678" s="62" t="inlineStr">
        <is>
          <t>P</t>
        </is>
      </c>
      <c r="B678" s="60">
        <f>IF(D678&gt;1/1/2001,B677+1," ")</f>
        <v/>
      </c>
      <c r="C678" s="59">
        <f>IF(B678&lt;&gt;" ",CONCATENATE(A678,B678)," ")</f>
        <v/>
      </c>
      <c r="D678" s="69" t="n"/>
      <c r="E678" s="72" t="n"/>
      <c r="F678" s="72" t="n"/>
      <c r="G678" s="72" t="n"/>
      <c r="H678" s="72" t="n"/>
      <c r="I678" s="72" t="n"/>
      <c r="J678" s="71" t="n"/>
      <c r="K678" s="73" t="n"/>
    </row>
    <row r="679">
      <c r="A679" s="62" t="inlineStr">
        <is>
          <t>P</t>
        </is>
      </c>
      <c r="B679" s="60">
        <f>IF(D679&gt;1/1/2001,B678+1," ")</f>
        <v/>
      </c>
      <c r="C679" s="59">
        <f>IF(B679&lt;&gt;" ",CONCATENATE(A679,B679)," ")</f>
        <v/>
      </c>
      <c r="D679" s="69" t="n"/>
      <c r="E679" s="72" t="n"/>
      <c r="F679" s="72" t="n"/>
      <c r="G679" s="72" t="n"/>
      <c r="H679" s="72" t="n"/>
      <c r="I679" s="72" t="n"/>
      <c r="J679" s="71" t="n"/>
      <c r="K679" s="73" t="n"/>
    </row>
    <row r="680">
      <c r="A680" s="62" t="inlineStr">
        <is>
          <t>P</t>
        </is>
      </c>
      <c r="B680" s="60">
        <f>IF(D680&gt;1/1/2001,B679+1," ")</f>
        <v/>
      </c>
      <c r="C680" s="59">
        <f>IF(B680&lt;&gt;" ",CONCATENATE(A680,B680)," ")</f>
        <v/>
      </c>
      <c r="D680" s="69" t="n"/>
      <c r="E680" s="72" t="n"/>
      <c r="F680" s="72" t="n"/>
      <c r="G680" s="72" t="n"/>
      <c r="H680" s="72" t="n"/>
      <c r="I680" s="72" t="n"/>
      <c r="J680" s="71" t="n"/>
      <c r="K680" s="73" t="n"/>
    </row>
    <row r="681">
      <c r="A681" s="62" t="inlineStr">
        <is>
          <t>P</t>
        </is>
      </c>
      <c r="B681" s="60">
        <f>IF(D681&gt;1/1/2001,B680+1," ")</f>
        <v/>
      </c>
      <c r="C681" s="59">
        <f>IF(B681&lt;&gt;" ",CONCATENATE(A681,B681)," ")</f>
        <v/>
      </c>
      <c r="D681" s="69" t="n"/>
      <c r="E681" s="72" t="n"/>
      <c r="F681" s="72" t="n"/>
      <c r="G681" s="72" t="n"/>
      <c r="H681" s="72" t="n"/>
      <c r="I681" s="72" t="n"/>
      <c r="J681" s="71" t="n"/>
      <c r="K681" s="73" t="n"/>
    </row>
    <row r="682">
      <c r="A682" s="62" t="inlineStr">
        <is>
          <t>P</t>
        </is>
      </c>
      <c r="B682" s="60">
        <f>IF(D682&gt;1/1/2001,B681+1," ")</f>
        <v/>
      </c>
      <c r="C682" s="59">
        <f>IF(B682&lt;&gt;" ",CONCATENATE(A682,B682)," ")</f>
        <v/>
      </c>
      <c r="D682" s="69" t="n"/>
      <c r="E682" s="72" t="n"/>
      <c r="F682" s="72" t="n"/>
      <c r="G682" s="72" t="n"/>
      <c r="H682" s="72" t="n"/>
      <c r="I682" s="72" t="n"/>
      <c r="J682" s="71" t="n"/>
      <c r="K682" s="73" t="n"/>
    </row>
    <row r="683">
      <c r="A683" s="62" t="inlineStr">
        <is>
          <t>P</t>
        </is>
      </c>
      <c r="B683" s="60">
        <f>IF(D683&gt;1/1/2001,B682+1," ")</f>
        <v/>
      </c>
      <c r="C683" s="59">
        <f>IF(B683&lt;&gt;" ",CONCATENATE(A683,B683)," ")</f>
        <v/>
      </c>
      <c r="D683" s="69" t="n"/>
      <c r="E683" s="72" t="n"/>
      <c r="F683" s="72" t="n"/>
      <c r="G683" s="72" t="n"/>
      <c r="H683" s="72" t="n"/>
      <c r="I683" s="72" t="n"/>
      <c r="J683" s="71" t="n"/>
      <c r="K683" s="73" t="n"/>
    </row>
    <row r="684">
      <c r="A684" s="62" t="inlineStr">
        <is>
          <t>P</t>
        </is>
      </c>
      <c r="B684" s="60">
        <f>IF(D684&gt;1/1/2001,B683+1," ")</f>
        <v/>
      </c>
      <c r="C684" s="59">
        <f>IF(B684&lt;&gt;" ",CONCATENATE(A684,B684)," ")</f>
        <v/>
      </c>
      <c r="D684" s="69" t="n"/>
      <c r="E684" s="72" t="n"/>
      <c r="F684" s="72" t="n"/>
      <c r="G684" s="72" t="n"/>
      <c r="H684" s="72" t="n"/>
      <c r="I684" s="72" t="n"/>
      <c r="J684" s="71" t="n"/>
      <c r="K684" s="73" t="n"/>
    </row>
    <row r="685">
      <c r="A685" s="62" t="inlineStr">
        <is>
          <t>P</t>
        </is>
      </c>
      <c r="B685" s="60">
        <f>IF(D685&gt;1/1/2001,B684+1," ")</f>
        <v/>
      </c>
      <c r="C685" s="59">
        <f>IF(B685&lt;&gt;" ",CONCATENATE(A685,B685)," ")</f>
        <v/>
      </c>
      <c r="D685" s="69" t="n"/>
      <c r="E685" s="72" t="n"/>
      <c r="F685" s="72" t="n"/>
      <c r="G685" s="72" t="n"/>
      <c r="H685" s="72" t="n"/>
      <c r="I685" s="72" t="n"/>
      <c r="J685" s="71" t="n"/>
      <c r="K685" s="73" t="n"/>
    </row>
    <row r="686">
      <c r="A686" s="62" t="inlineStr">
        <is>
          <t>P</t>
        </is>
      </c>
      <c r="B686" s="60">
        <f>IF(D686&gt;1/1/2001,B685+1," ")</f>
        <v/>
      </c>
      <c r="C686" s="59">
        <f>IF(B686&lt;&gt;" ",CONCATENATE(A686,B686)," ")</f>
        <v/>
      </c>
      <c r="D686" s="69" t="n"/>
      <c r="E686" s="72" t="n"/>
      <c r="F686" s="72" t="n"/>
      <c r="G686" s="72" t="n"/>
      <c r="H686" s="72" t="n"/>
      <c r="I686" s="72" t="n"/>
      <c r="J686" s="71" t="n"/>
      <c r="K686" s="73" t="n"/>
    </row>
    <row r="687">
      <c r="A687" s="62" t="inlineStr">
        <is>
          <t>P</t>
        </is>
      </c>
      <c r="B687" s="60">
        <f>IF(D687&gt;1/1/2001,B686+1," ")</f>
        <v/>
      </c>
      <c r="C687" s="59">
        <f>IF(B687&lt;&gt;" ",CONCATENATE(A687,B687)," ")</f>
        <v/>
      </c>
      <c r="D687" s="69" t="n"/>
      <c r="E687" s="72" t="n"/>
      <c r="F687" s="72" t="n"/>
      <c r="G687" s="72" t="n"/>
      <c r="H687" s="72" t="n"/>
      <c r="I687" s="72" t="n"/>
      <c r="J687" s="71" t="n"/>
      <c r="K687" s="73" t="n"/>
    </row>
    <row r="688">
      <c r="A688" s="62" t="inlineStr">
        <is>
          <t>P</t>
        </is>
      </c>
      <c r="B688" s="60">
        <f>IF(D688&gt;1/1/2001,B687+1," ")</f>
        <v/>
      </c>
      <c r="C688" s="59">
        <f>IF(B688&lt;&gt;" ",CONCATENATE(A688,B688)," ")</f>
        <v/>
      </c>
      <c r="D688" s="69" t="n"/>
      <c r="E688" s="72" t="n"/>
      <c r="F688" s="72" t="n"/>
      <c r="G688" s="72" t="n"/>
      <c r="H688" s="72" t="n"/>
      <c r="I688" s="72" t="n"/>
      <c r="J688" s="71" t="n"/>
      <c r="K688" s="73" t="n"/>
    </row>
    <row r="689">
      <c r="A689" s="62" t="inlineStr">
        <is>
          <t>P</t>
        </is>
      </c>
      <c r="B689" s="60">
        <f>IF(D689&gt;1/1/2001,B688+1," ")</f>
        <v/>
      </c>
      <c r="C689" s="59">
        <f>IF(B689&lt;&gt;" ",CONCATENATE(A689,B689)," ")</f>
        <v/>
      </c>
      <c r="D689" s="69" t="n"/>
      <c r="E689" s="72" t="n"/>
      <c r="F689" s="72" t="n"/>
      <c r="G689" s="72" t="n"/>
      <c r="H689" s="72" t="n"/>
      <c r="I689" s="72" t="n"/>
      <c r="J689" s="71" t="n"/>
      <c r="K689" s="73" t="n"/>
    </row>
    <row r="690">
      <c r="A690" s="62" t="inlineStr">
        <is>
          <t>P</t>
        </is>
      </c>
      <c r="B690" s="60">
        <f>IF(D690&gt;1/1/2001,B689+1," ")</f>
        <v/>
      </c>
      <c r="C690" s="59">
        <f>IF(B690&lt;&gt;" ",CONCATENATE(A690,B690)," ")</f>
        <v/>
      </c>
      <c r="D690" s="69" t="n"/>
      <c r="E690" s="72" t="n"/>
      <c r="F690" s="72" t="n"/>
      <c r="G690" s="72" t="n"/>
      <c r="H690" s="72" t="n"/>
      <c r="I690" s="72" t="n"/>
      <c r="J690" s="71" t="n"/>
      <c r="K690" s="73" t="n"/>
    </row>
    <row r="691">
      <c r="A691" s="62" t="inlineStr">
        <is>
          <t>P</t>
        </is>
      </c>
      <c r="B691" s="60">
        <f>IF(D691&gt;1/1/2001,B690+1," ")</f>
        <v/>
      </c>
      <c r="C691" s="59">
        <f>IF(B691&lt;&gt;" ",CONCATENATE(A691,B691)," ")</f>
        <v/>
      </c>
      <c r="D691" s="69" t="n"/>
      <c r="E691" s="72" t="n"/>
      <c r="F691" s="72" t="n"/>
      <c r="G691" s="72" t="n"/>
      <c r="H691" s="72" t="n"/>
      <c r="I691" s="72" t="n"/>
      <c r="J691" s="71" t="n"/>
      <c r="K691" s="73" t="n"/>
    </row>
    <row r="692">
      <c r="A692" s="62" t="inlineStr">
        <is>
          <t>P</t>
        </is>
      </c>
      <c r="B692" s="60">
        <f>IF(D692&gt;1/1/2001,B691+1," ")</f>
        <v/>
      </c>
      <c r="C692" s="59">
        <f>IF(B692&lt;&gt;" ",CONCATENATE(A692,B692)," ")</f>
        <v/>
      </c>
      <c r="D692" s="69" t="n"/>
      <c r="E692" s="72" t="n"/>
      <c r="F692" s="72" t="n"/>
      <c r="G692" s="72" t="n"/>
      <c r="H692" s="72" t="n"/>
      <c r="I692" s="72" t="n"/>
      <c r="J692" s="71" t="n"/>
      <c r="K692" s="73" t="n"/>
    </row>
    <row r="693">
      <c r="A693" s="62" t="inlineStr">
        <is>
          <t>P</t>
        </is>
      </c>
      <c r="B693" s="60">
        <f>IF(D693&gt;1/1/2001,B692+1," ")</f>
        <v/>
      </c>
      <c r="C693" s="59">
        <f>IF(B693&lt;&gt;" ",CONCATENATE(A693,B693)," ")</f>
        <v/>
      </c>
      <c r="D693" s="69" t="n"/>
      <c r="E693" s="72" t="n"/>
      <c r="F693" s="72" t="n"/>
      <c r="G693" s="72" t="n"/>
      <c r="H693" s="72" t="n"/>
      <c r="I693" s="72" t="n"/>
      <c r="J693" s="71" t="n"/>
      <c r="K693" s="73" t="n"/>
    </row>
    <row r="694">
      <c r="A694" s="62" t="inlineStr">
        <is>
          <t>P</t>
        </is>
      </c>
      <c r="B694" s="60">
        <f>IF(D694&gt;1/1/2001,B693+1," ")</f>
        <v/>
      </c>
      <c r="C694" s="59">
        <f>IF(B694&lt;&gt;" ",CONCATENATE(A694,B694)," ")</f>
        <v/>
      </c>
      <c r="D694" s="69" t="n"/>
      <c r="E694" s="72" t="n"/>
      <c r="F694" s="72" t="n"/>
      <c r="G694" s="72" t="n"/>
      <c r="H694" s="72" t="n"/>
      <c r="I694" s="72" t="n"/>
      <c r="J694" s="71" t="n"/>
      <c r="K694" s="73" t="n"/>
    </row>
    <row r="695">
      <c r="A695" s="62" t="inlineStr">
        <is>
          <t>P</t>
        </is>
      </c>
      <c r="B695" s="60">
        <f>IF(D695&gt;1/1/2001,B694+1," ")</f>
        <v/>
      </c>
      <c r="C695" s="59">
        <f>IF(B695&lt;&gt;" ",CONCATENATE(A695,B695)," ")</f>
        <v/>
      </c>
      <c r="D695" s="69" t="n"/>
      <c r="E695" s="72" t="n"/>
      <c r="F695" s="72" t="n"/>
      <c r="G695" s="72" t="n"/>
      <c r="H695" s="72" t="n"/>
      <c r="I695" s="72" t="n"/>
      <c r="J695" s="71" t="n"/>
      <c r="K695" s="73" t="n"/>
    </row>
    <row r="696">
      <c r="A696" s="62" t="inlineStr">
        <is>
          <t>P</t>
        </is>
      </c>
      <c r="B696" s="60">
        <f>IF(D696&gt;1/1/2001,B695+1," ")</f>
        <v/>
      </c>
      <c r="C696" s="59">
        <f>IF(B696&lt;&gt;" ",CONCATENATE(A696,B696)," ")</f>
        <v/>
      </c>
      <c r="D696" s="69" t="n"/>
      <c r="E696" s="72" t="n"/>
      <c r="F696" s="72" t="n"/>
      <c r="G696" s="72" t="n"/>
      <c r="H696" s="72" t="n"/>
      <c r="I696" s="72" t="n"/>
      <c r="J696" s="71" t="n"/>
      <c r="K696" s="73" t="n"/>
    </row>
    <row r="697">
      <c r="A697" s="62" t="inlineStr">
        <is>
          <t>P</t>
        </is>
      </c>
      <c r="B697" s="60">
        <f>IF(D697&gt;1/1/2001,B696+1," ")</f>
        <v/>
      </c>
      <c r="C697" s="59">
        <f>IF(B697&lt;&gt;" ",CONCATENATE(A697,B697)," ")</f>
        <v/>
      </c>
      <c r="D697" s="69" t="n"/>
      <c r="E697" s="72" t="n"/>
      <c r="F697" s="72" t="n"/>
      <c r="G697" s="72" t="n"/>
      <c r="H697" s="72" t="n"/>
      <c r="I697" s="72" t="n"/>
      <c r="J697" s="71" t="n"/>
      <c r="K697" s="73" t="n"/>
    </row>
    <row r="698">
      <c r="A698" s="62" t="inlineStr">
        <is>
          <t>P</t>
        </is>
      </c>
      <c r="B698" s="60">
        <f>IF(D698&gt;1/1/2001,B697+1," ")</f>
        <v/>
      </c>
      <c r="C698" s="59">
        <f>IF(B698&lt;&gt;" ",CONCATENATE(A698,B698)," ")</f>
        <v/>
      </c>
      <c r="D698" s="69" t="n"/>
      <c r="E698" s="72" t="n"/>
      <c r="F698" s="72" t="n"/>
      <c r="G698" s="72" t="n"/>
      <c r="H698" s="72" t="n"/>
      <c r="I698" s="72" t="n"/>
      <c r="J698" s="71" t="n"/>
      <c r="K698" s="73" t="n"/>
    </row>
    <row r="699">
      <c r="A699" s="62" t="inlineStr">
        <is>
          <t>P</t>
        </is>
      </c>
      <c r="B699" s="60">
        <f>IF(D699&gt;1/1/2001,B698+1," ")</f>
        <v/>
      </c>
      <c r="C699" s="59">
        <f>IF(B699&lt;&gt;" ",CONCATENATE(A699,B699)," ")</f>
        <v/>
      </c>
      <c r="D699" s="69" t="n"/>
      <c r="E699" s="72" t="n"/>
      <c r="F699" s="72" t="n"/>
      <c r="G699" s="72" t="n"/>
      <c r="H699" s="72" t="n"/>
      <c r="I699" s="72" t="n"/>
      <c r="J699" s="71" t="n"/>
      <c r="K699" s="73" t="n"/>
    </row>
    <row r="700">
      <c r="A700" s="62" t="inlineStr">
        <is>
          <t>P</t>
        </is>
      </c>
      <c r="B700" s="60">
        <f>IF(D700&gt;1/1/2001,B699+1," ")</f>
        <v/>
      </c>
      <c r="C700" s="59">
        <f>IF(B700&lt;&gt;" ",CONCATENATE(A700,B700)," ")</f>
        <v/>
      </c>
      <c r="D700" s="69" t="n"/>
      <c r="E700" s="72" t="n"/>
      <c r="F700" s="72" t="n"/>
      <c r="G700" s="72" t="n"/>
      <c r="H700" s="72" t="n"/>
      <c r="I700" s="72" t="n"/>
      <c r="J700" s="71" t="n"/>
      <c r="K700" s="73" t="n"/>
    </row>
    <row r="701">
      <c r="A701" s="62" t="inlineStr">
        <is>
          <t>P</t>
        </is>
      </c>
      <c r="B701" s="60">
        <f>IF(D701&gt;1/1/2001,B700+1," ")</f>
        <v/>
      </c>
      <c r="C701" s="59">
        <f>IF(B701&lt;&gt;" ",CONCATENATE(A701,B701)," ")</f>
        <v/>
      </c>
      <c r="D701" s="69" t="n"/>
      <c r="E701" s="72" t="n"/>
      <c r="F701" s="72" t="n"/>
      <c r="G701" s="72" t="n"/>
      <c r="H701" s="72" t="n"/>
      <c r="I701" s="72" t="n"/>
      <c r="J701" s="71" t="n"/>
      <c r="K701" s="73" t="n"/>
    </row>
    <row r="702">
      <c r="A702" s="62" t="inlineStr">
        <is>
          <t>P</t>
        </is>
      </c>
      <c r="B702" s="60">
        <f>IF(D702&gt;1/1/2001,B701+1," ")</f>
        <v/>
      </c>
      <c r="C702" s="59">
        <f>IF(B702&lt;&gt;" ",CONCATENATE(A702,B702)," ")</f>
        <v/>
      </c>
      <c r="D702" s="69" t="n"/>
      <c r="E702" s="72" t="n"/>
      <c r="F702" s="72" t="n"/>
      <c r="G702" s="72" t="n"/>
      <c r="H702" s="72" t="n"/>
      <c r="I702" s="72" t="n"/>
      <c r="J702" s="71" t="n"/>
      <c r="K702" s="73" t="n"/>
    </row>
    <row r="703">
      <c r="A703" s="62" t="inlineStr">
        <is>
          <t>P</t>
        </is>
      </c>
      <c r="B703" s="60">
        <f>IF(D703&gt;1/1/2001,B702+1," ")</f>
        <v/>
      </c>
      <c r="C703" s="59">
        <f>IF(B703&lt;&gt;" ",CONCATENATE(A703,B703)," ")</f>
        <v/>
      </c>
      <c r="D703" s="69" t="n"/>
      <c r="E703" s="72" t="n"/>
      <c r="F703" s="72" t="n"/>
      <c r="G703" s="72" t="n"/>
      <c r="H703" s="72" t="n"/>
      <c r="I703" s="72" t="n"/>
      <c r="J703" s="71" t="n"/>
      <c r="K703" s="73" t="n"/>
    </row>
    <row r="704">
      <c r="A704" s="62" t="inlineStr">
        <is>
          <t>P</t>
        </is>
      </c>
      <c r="B704" s="60">
        <f>IF(D704&gt;1/1/2001,B703+1," ")</f>
        <v/>
      </c>
      <c r="C704" s="59">
        <f>IF(B704&lt;&gt;" ",CONCATENATE(A704,B704)," ")</f>
        <v/>
      </c>
      <c r="D704" s="69" t="n"/>
      <c r="E704" s="72" t="n"/>
      <c r="F704" s="72" t="n"/>
      <c r="G704" s="72" t="n"/>
      <c r="H704" s="72" t="n"/>
      <c r="I704" s="72" t="n"/>
      <c r="J704" s="71" t="n"/>
      <c r="K704" s="73" t="n"/>
    </row>
    <row r="705">
      <c r="A705" s="62" t="inlineStr">
        <is>
          <t>P</t>
        </is>
      </c>
      <c r="B705" s="60">
        <f>IF(D705&gt;1/1/2001,B704+1," ")</f>
        <v/>
      </c>
      <c r="C705" s="59">
        <f>IF(B705&lt;&gt;" ",CONCATENATE(A705,B705)," ")</f>
        <v/>
      </c>
      <c r="D705" s="69" t="n"/>
      <c r="E705" s="72" t="n"/>
      <c r="F705" s="72" t="n"/>
      <c r="G705" s="72" t="n"/>
      <c r="H705" s="72" t="n"/>
      <c r="I705" s="72" t="n"/>
      <c r="J705" s="71" t="n"/>
      <c r="K705" s="73" t="n"/>
    </row>
    <row r="706">
      <c r="A706" s="62" t="inlineStr">
        <is>
          <t>P</t>
        </is>
      </c>
      <c r="B706" s="60">
        <f>IF(D706&gt;1/1/2001,B705+1," ")</f>
        <v/>
      </c>
      <c r="C706" s="59">
        <f>IF(B706&lt;&gt;" ",CONCATENATE(A706,B706)," ")</f>
        <v/>
      </c>
      <c r="D706" s="69" t="n"/>
      <c r="E706" s="72" t="n"/>
      <c r="F706" s="72" t="n"/>
      <c r="G706" s="72" t="n"/>
      <c r="H706" s="72" t="n"/>
      <c r="I706" s="72" t="n"/>
      <c r="J706" s="71" t="n"/>
      <c r="K706" s="73" t="n"/>
    </row>
    <row r="707">
      <c r="A707" s="62" t="inlineStr">
        <is>
          <t>P</t>
        </is>
      </c>
      <c r="B707" s="60">
        <f>IF(D707&gt;1/1/2001,B706+1," ")</f>
        <v/>
      </c>
      <c r="C707" s="59">
        <f>IF(B707&lt;&gt;" ",CONCATENATE(A707,B707)," ")</f>
        <v/>
      </c>
      <c r="D707" s="69" t="n"/>
      <c r="E707" s="72" t="n"/>
      <c r="F707" s="72" t="n"/>
      <c r="G707" s="72" t="n"/>
      <c r="H707" s="72" t="n"/>
      <c r="I707" s="72" t="n"/>
      <c r="J707" s="71" t="n"/>
      <c r="K707" s="73" t="n"/>
    </row>
    <row r="708">
      <c r="A708" s="62" t="inlineStr">
        <is>
          <t>P</t>
        </is>
      </c>
      <c r="B708" s="60">
        <f>IF(D708&gt;1/1/2001,B707+1," ")</f>
        <v/>
      </c>
      <c r="C708" s="59">
        <f>IF(B708&lt;&gt;" ",CONCATENATE(A708,B708)," ")</f>
        <v/>
      </c>
      <c r="D708" s="69" t="n"/>
      <c r="E708" s="72" t="n"/>
      <c r="F708" s="72" t="n"/>
      <c r="G708" s="72" t="n"/>
      <c r="H708" s="72" t="n"/>
      <c r="I708" s="72" t="n"/>
      <c r="J708" s="71" t="n"/>
      <c r="K708" s="73" t="n"/>
    </row>
    <row r="709">
      <c r="A709" s="62" t="inlineStr">
        <is>
          <t>P</t>
        </is>
      </c>
      <c r="B709" s="60">
        <f>IF(D709&gt;1/1/2001,B708+1," ")</f>
        <v/>
      </c>
      <c r="C709" s="59">
        <f>IF(B709&lt;&gt;" ",CONCATENATE(A709,B709)," ")</f>
        <v/>
      </c>
      <c r="D709" s="69" t="n"/>
      <c r="E709" s="72" t="n"/>
      <c r="F709" s="72" t="n"/>
      <c r="G709" s="72" t="n"/>
      <c r="H709" s="72" t="n"/>
      <c r="I709" s="72" t="n"/>
      <c r="J709" s="71" t="n"/>
      <c r="K709" s="73" t="n"/>
    </row>
    <row r="710">
      <c r="A710" s="62" t="inlineStr">
        <is>
          <t>P</t>
        </is>
      </c>
      <c r="B710" s="60">
        <f>IF(D710&gt;1/1/2001,B709+1," ")</f>
        <v/>
      </c>
      <c r="C710" s="59">
        <f>IF(B710&lt;&gt;" ",CONCATENATE(A710,B710)," ")</f>
        <v/>
      </c>
      <c r="D710" s="69" t="n"/>
      <c r="E710" s="72" t="n"/>
      <c r="F710" s="72" t="n"/>
      <c r="G710" s="72" t="n"/>
      <c r="H710" s="72" t="n"/>
      <c r="I710" s="72" t="n"/>
      <c r="J710" s="71" t="n"/>
      <c r="K710" s="73" t="n"/>
    </row>
    <row r="711">
      <c r="A711" s="62" t="inlineStr">
        <is>
          <t>P</t>
        </is>
      </c>
      <c r="B711" s="60">
        <f>IF(D711&gt;1/1/2001,B710+1," ")</f>
        <v/>
      </c>
      <c r="C711" s="59">
        <f>IF(B711&lt;&gt;" ",CONCATENATE(A711,B711)," ")</f>
        <v/>
      </c>
      <c r="D711" s="69" t="n"/>
      <c r="E711" s="72" t="n"/>
      <c r="F711" s="72" t="n"/>
      <c r="G711" s="72" t="n"/>
      <c r="H711" s="72" t="n"/>
      <c r="I711" s="72" t="n"/>
      <c r="J711" s="71" t="n"/>
      <c r="K711" s="73" t="n"/>
    </row>
    <row r="712">
      <c r="A712" s="62" t="inlineStr">
        <is>
          <t>P</t>
        </is>
      </c>
      <c r="B712" s="60">
        <f>IF(D712&gt;1/1/2001,B711+1," ")</f>
        <v/>
      </c>
      <c r="C712" s="59">
        <f>IF(B712&lt;&gt;" ",CONCATENATE(A712,B712)," ")</f>
        <v/>
      </c>
      <c r="D712" s="69" t="n"/>
      <c r="E712" s="72" t="n"/>
      <c r="F712" s="72" t="n"/>
      <c r="G712" s="72" t="n"/>
      <c r="H712" s="72" t="n"/>
      <c r="I712" s="72" t="n"/>
      <c r="J712" s="71" t="n"/>
      <c r="K712" s="73" t="n"/>
    </row>
    <row r="713">
      <c r="A713" s="62" t="inlineStr">
        <is>
          <t>P</t>
        </is>
      </c>
      <c r="B713" s="60">
        <f>IF(D713&gt;1/1/2001,B712+1," ")</f>
        <v/>
      </c>
      <c r="C713" s="59">
        <f>IF(B713&lt;&gt;" ",CONCATENATE(A713,B713)," ")</f>
        <v/>
      </c>
      <c r="D713" s="69" t="n"/>
      <c r="E713" s="72" t="n"/>
      <c r="F713" s="72" t="n"/>
      <c r="G713" s="72" t="n"/>
      <c r="H713" s="72" t="n"/>
      <c r="I713" s="72" t="n"/>
      <c r="J713" s="71" t="n"/>
      <c r="K713" s="73" t="n"/>
    </row>
    <row r="714">
      <c r="A714" s="62" t="inlineStr">
        <is>
          <t>P</t>
        </is>
      </c>
      <c r="B714" s="60">
        <f>IF(D714&gt;1/1/2001,B713+1," ")</f>
        <v/>
      </c>
      <c r="C714" s="59">
        <f>IF(B714&lt;&gt;" ",CONCATENATE(A714,B714)," ")</f>
        <v/>
      </c>
      <c r="D714" s="69" t="n"/>
      <c r="E714" s="72" t="n"/>
      <c r="F714" s="72" t="n"/>
      <c r="G714" s="72" t="n"/>
      <c r="H714" s="72" t="n"/>
      <c r="I714" s="72" t="n"/>
      <c r="J714" s="71" t="n"/>
      <c r="K714" s="73" t="n"/>
    </row>
    <row r="715">
      <c r="A715" s="62" t="inlineStr">
        <is>
          <t>P</t>
        </is>
      </c>
      <c r="B715" s="60">
        <f>IF(D715&gt;1/1/2001,B714+1," ")</f>
        <v/>
      </c>
      <c r="C715" s="59">
        <f>IF(B715&lt;&gt;" ",CONCATENATE(A715,B715)," ")</f>
        <v/>
      </c>
      <c r="D715" s="69" t="n"/>
      <c r="E715" s="72" t="n"/>
      <c r="F715" s="72" t="n"/>
      <c r="G715" s="72" t="n"/>
      <c r="H715" s="72" t="n"/>
      <c r="I715" s="72" t="n"/>
      <c r="J715" s="71" t="n"/>
      <c r="K715" s="73" t="n"/>
    </row>
    <row r="716">
      <c r="A716" s="62" t="inlineStr">
        <is>
          <t>P</t>
        </is>
      </c>
      <c r="B716" s="60">
        <f>IF(D716&gt;1/1/2001,B715+1," ")</f>
        <v/>
      </c>
      <c r="C716" s="59">
        <f>IF(B716&lt;&gt;" ",CONCATENATE(A716,B716)," ")</f>
        <v/>
      </c>
      <c r="D716" s="69" t="n"/>
      <c r="E716" s="72" t="n"/>
      <c r="F716" s="72" t="n"/>
      <c r="G716" s="72" t="n"/>
      <c r="H716" s="72" t="n"/>
      <c r="I716" s="72" t="n"/>
      <c r="J716" s="71" t="n"/>
      <c r="K716" s="73" t="n"/>
    </row>
    <row r="717">
      <c r="A717" s="62" t="inlineStr">
        <is>
          <t>P</t>
        </is>
      </c>
      <c r="B717" s="60">
        <f>IF(D717&gt;1/1/2001,B716+1," ")</f>
        <v/>
      </c>
      <c r="C717" s="59">
        <f>IF(B717&lt;&gt;" ",CONCATENATE(A717,B717)," ")</f>
        <v/>
      </c>
      <c r="D717" s="69" t="n"/>
      <c r="E717" s="72" t="n"/>
      <c r="F717" s="72" t="n"/>
      <c r="G717" s="72" t="n"/>
      <c r="H717" s="72" t="n"/>
      <c r="I717" s="72" t="n"/>
      <c r="J717" s="71" t="n"/>
      <c r="K717" s="73" t="n"/>
    </row>
    <row r="718">
      <c r="A718" s="62" t="inlineStr">
        <is>
          <t>P</t>
        </is>
      </c>
      <c r="B718" s="60">
        <f>IF(D718&gt;1/1/2001,B717+1," ")</f>
        <v/>
      </c>
      <c r="C718" s="59">
        <f>IF(B718&lt;&gt;" ",CONCATENATE(A718,B718)," ")</f>
        <v/>
      </c>
      <c r="D718" s="69" t="n"/>
      <c r="E718" s="72" t="n"/>
      <c r="F718" s="72" t="n"/>
      <c r="G718" s="72" t="n"/>
      <c r="H718" s="72" t="n"/>
      <c r="I718" s="72" t="n"/>
      <c r="J718" s="71" t="n"/>
      <c r="K718" s="73" t="n"/>
    </row>
    <row r="719">
      <c r="A719" s="62" t="inlineStr">
        <is>
          <t>P</t>
        </is>
      </c>
      <c r="B719" s="60">
        <f>IF(D719&gt;1/1/2001,B718+1," ")</f>
        <v/>
      </c>
      <c r="C719" s="59">
        <f>IF(B719&lt;&gt;" ",CONCATENATE(A719,B719)," ")</f>
        <v/>
      </c>
      <c r="D719" s="69" t="n"/>
      <c r="E719" s="72" t="n"/>
      <c r="F719" s="72" t="n"/>
      <c r="G719" s="72" t="n"/>
      <c r="H719" s="72" t="n"/>
      <c r="I719" s="72" t="n"/>
      <c r="J719" s="71" t="n"/>
      <c r="K719" s="73" t="n"/>
    </row>
    <row r="720">
      <c r="A720" s="62" t="inlineStr">
        <is>
          <t>P</t>
        </is>
      </c>
      <c r="B720" s="60">
        <f>IF(D720&gt;1/1/2001,B719+1," ")</f>
        <v/>
      </c>
      <c r="C720" s="59">
        <f>IF(B720&lt;&gt;" ",CONCATENATE(A720,B720)," ")</f>
        <v/>
      </c>
      <c r="D720" s="69" t="n"/>
      <c r="E720" s="72" t="n"/>
      <c r="F720" s="72" t="n"/>
      <c r="G720" s="72" t="n"/>
      <c r="H720" s="72" t="n"/>
      <c r="I720" s="72" t="n"/>
      <c r="J720" s="71" t="n"/>
      <c r="K720" s="73" t="n"/>
    </row>
    <row r="721">
      <c r="A721" s="62" t="inlineStr">
        <is>
          <t>P</t>
        </is>
      </c>
      <c r="B721" s="60">
        <f>IF(D721&gt;1/1/2001,B720+1," ")</f>
        <v/>
      </c>
      <c r="C721" s="59">
        <f>IF(B721&lt;&gt;" ",CONCATENATE(A721,B721)," ")</f>
        <v/>
      </c>
      <c r="D721" s="69" t="n"/>
      <c r="E721" s="72" t="n"/>
      <c r="F721" s="72" t="n"/>
      <c r="G721" s="72" t="n"/>
      <c r="H721" s="72" t="n"/>
      <c r="I721" s="72" t="n"/>
      <c r="J721" s="71" t="n"/>
      <c r="K721" s="73" t="n"/>
    </row>
    <row r="722">
      <c r="A722" s="62" t="inlineStr">
        <is>
          <t>P</t>
        </is>
      </c>
      <c r="B722" s="60">
        <f>IF(D722&gt;1/1/2001,B721+1," ")</f>
        <v/>
      </c>
      <c r="C722" s="59">
        <f>IF(B722&lt;&gt;" ",CONCATENATE(A722,B722)," ")</f>
        <v/>
      </c>
      <c r="D722" s="69" t="n"/>
      <c r="E722" s="72" t="n"/>
      <c r="F722" s="72" t="n"/>
      <c r="G722" s="72" t="n"/>
      <c r="H722" s="72" t="n"/>
      <c r="I722" s="72" t="n"/>
      <c r="J722" s="71" t="n"/>
      <c r="K722" s="73" t="n"/>
    </row>
    <row r="723">
      <c r="A723" s="62" t="inlineStr">
        <is>
          <t>P</t>
        </is>
      </c>
      <c r="B723" s="60">
        <f>IF(D723&gt;1/1/2001,B722+1," ")</f>
        <v/>
      </c>
      <c r="C723" s="59">
        <f>IF(B723&lt;&gt;" ",CONCATENATE(A723,B723)," ")</f>
        <v/>
      </c>
      <c r="D723" s="69" t="n"/>
      <c r="E723" s="72" t="n"/>
      <c r="F723" s="72" t="n"/>
      <c r="G723" s="72" t="n"/>
      <c r="H723" s="72" t="n"/>
      <c r="I723" s="72" t="n"/>
      <c r="J723" s="71" t="n"/>
      <c r="K723" s="73" t="n"/>
    </row>
    <row r="724">
      <c r="A724" s="62" t="inlineStr">
        <is>
          <t>P</t>
        </is>
      </c>
      <c r="B724" s="60">
        <f>IF(D724&gt;1/1/2001,B723+1," ")</f>
        <v/>
      </c>
      <c r="C724" s="59">
        <f>IF(B724&lt;&gt;" ",CONCATENATE(A724,B724)," ")</f>
        <v/>
      </c>
      <c r="D724" s="69" t="n"/>
      <c r="E724" s="72" t="n"/>
      <c r="F724" s="72" t="n"/>
      <c r="G724" s="72" t="n"/>
      <c r="H724" s="72" t="n"/>
      <c r="I724" s="72" t="n"/>
      <c r="J724" s="71" t="n"/>
      <c r="K724" s="73" t="n"/>
    </row>
    <row r="725">
      <c r="A725" s="62" t="inlineStr">
        <is>
          <t>P</t>
        </is>
      </c>
      <c r="B725" s="60">
        <f>IF(D725&gt;1/1/2001,B724+1," ")</f>
        <v/>
      </c>
      <c r="C725" s="59">
        <f>IF(B725&lt;&gt;" ",CONCATENATE(A725,B725)," ")</f>
        <v/>
      </c>
      <c r="D725" s="69" t="n"/>
      <c r="E725" s="72" t="n"/>
      <c r="F725" s="72" t="n"/>
      <c r="G725" s="72" t="n"/>
      <c r="H725" s="72" t="n"/>
      <c r="I725" s="72" t="n"/>
      <c r="J725" s="71" t="n"/>
      <c r="K725" s="73" t="n"/>
    </row>
    <row r="726">
      <c r="A726" s="62" t="inlineStr">
        <is>
          <t>P</t>
        </is>
      </c>
      <c r="B726" s="60">
        <f>IF(D726&gt;1/1/2001,B725+1," ")</f>
        <v/>
      </c>
      <c r="C726" s="59">
        <f>IF(B726&lt;&gt;" ",CONCATENATE(A726,B726)," ")</f>
        <v/>
      </c>
      <c r="D726" s="69" t="n"/>
      <c r="E726" s="72" t="n"/>
      <c r="F726" s="72" t="n"/>
      <c r="G726" s="72" t="n"/>
      <c r="H726" s="72" t="n"/>
      <c r="I726" s="72" t="n"/>
      <c r="J726" s="71" t="n"/>
      <c r="K726" s="73" t="n"/>
    </row>
    <row r="727">
      <c r="A727" s="62" t="inlineStr">
        <is>
          <t>P</t>
        </is>
      </c>
      <c r="B727" s="60">
        <f>IF(D727&gt;1/1/2001,B726+1," ")</f>
        <v/>
      </c>
      <c r="C727" s="59">
        <f>IF(B727&lt;&gt;" ",CONCATENATE(A727,B727)," ")</f>
        <v/>
      </c>
      <c r="D727" s="69" t="n"/>
      <c r="E727" s="72" t="n"/>
      <c r="F727" s="72" t="n"/>
      <c r="G727" s="72" t="n"/>
      <c r="H727" s="72" t="n"/>
      <c r="I727" s="72" t="n"/>
      <c r="J727" s="71" t="n"/>
      <c r="K727" s="73" t="n"/>
    </row>
    <row r="728">
      <c r="A728" s="62" t="inlineStr">
        <is>
          <t>P</t>
        </is>
      </c>
      <c r="B728" s="60">
        <f>IF(D728&gt;1/1/2001,B727+1," ")</f>
        <v/>
      </c>
      <c r="C728" s="59">
        <f>IF(B728&lt;&gt;" ",CONCATENATE(A728,B728)," ")</f>
        <v/>
      </c>
      <c r="D728" s="69" t="n"/>
      <c r="E728" s="72" t="n"/>
      <c r="F728" s="72" t="n"/>
      <c r="G728" s="72" t="n"/>
      <c r="H728" s="72" t="n"/>
      <c r="I728" s="72" t="n"/>
      <c r="J728" s="71" t="n"/>
      <c r="K728" s="73" t="n"/>
    </row>
    <row r="729">
      <c r="A729" s="62" t="inlineStr">
        <is>
          <t>P</t>
        </is>
      </c>
      <c r="B729" s="60">
        <f>IF(D729&gt;1/1/2001,B728+1," ")</f>
        <v/>
      </c>
      <c r="C729" s="59">
        <f>IF(B729&lt;&gt;" ",CONCATENATE(A729,B729)," ")</f>
        <v/>
      </c>
      <c r="D729" s="69" t="n"/>
      <c r="E729" s="72" t="n"/>
      <c r="F729" s="72" t="n"/>
      <c r="G729" s="72" t="n"/>
      <c r="H729" s="72" t="n"/>
      <c r="I729" s="72" t="n"/>
      <c r="J729" s="71" t="n"/>
      <c r="K729" s="73" t="n"/>
    </row>
    <row r="730">
      <c r="A730" s="62" t="inlineStr">
        <is>
          <t>P</t>
        </is>
      </c>
      <c r="B730" s="60">
        <f>IF(D730&gt;1/1/2001,B729+1," ")</f>
        <v/>
      </c>
      <c r="C730" s="59">
        <f>IF(B730&lt;&gt;" ",CONCATENATE(A730,B730)," ")</f>
        <v/>
      </c>
      <c r="D730" s="69" t="n"/>
      <c r="E730" s="72" t="n"/>
      <c r="F730" s="72" t="n"/>
      <c r="G730" s="72" t="n"/>
      <c r="H730" s="72" t="n"/>
      <c r="I730" s="72" t="n"/>
      <c r="J730" s="71" t="n"/>
      <c r="K730" s="73" t="n"/>
    </row>
    <row r="731">
      <c r="A731" s="62" t="inlineStr">
        <is>
          <t>P</t>
        </is>
      </c>
      <c r="B731" s="60">
        <f>IF(D731&gt;1/1/2001,B730+1," ")</f>
        <v/>
      </c>
      <c r="C731" s="59">
        <f>IF(B731&lt;&gt;" ",CONCATENATE(A731,B731)," ")</f>
        <v/>
      </c>
      <c r="D731" s="69" t="n"/>
      <c r="E731" s="72" t="n"/>
      <c r="F731" s="72" t="n"/>
      <c r="G731" s="72" t="n"/>
      <c r="H731" s="72" t="n"/>
      <c r="I731" s="72" t="n"/>
      <c r="J731" s="71" t="n"/>
      <c r="K731" s="73" t="n"/>
    </row>
    <row r="732">
      <c r="A732" s="62" t="inlineStr">
        <is>
          <t>P</t>
        </is>
      </c>
      <c r="B732" s="60">
        <f>IF(D732&gt;1/1/2001,B731+1," ")</f>
        <v/>
      </c>
      <c r="C732" s="59">
        <f>IF(B732&lt;&gt;" ",CONCATENATE(A732,B732)," ")</f>
        <v/>
      </c>
      <c r="D732" s="69" t="n"/>
      <c r="E732" s="72" t="n"/>
      <c r="F732" s="72" t="n"/>
      <c r="G732" s="72" t="n"/>
      <c r="H732" s="72" t="n"/>
      <c r="I732" s="72" t="n"/>
      <c r="J732" s="71" t="n"/>
      <c r="K732" s="73" t="n"/>
    </row>
    <row r="733">
      <c r="A733" s="62" t="inlineStr">
        <is>
          <t>P</t>
        </is>
      </c>
      <c r="B733" s="60">
        <f>IF(D733&gt;1/1/2001,B732+1," ")</f>
        <v/>
      </c>
      <c r="C733" s="59">
        <f>IF(B733&lt;&gt;" ",CONCATENATE(A733,B733)," ")</f>
        <v/>
      </c>
      <c r="D733" s="69" t="n"/>
      <c r="E733" s="72" t="n"/>
      <c r="F733" s="72" t="n"/>
      <c r="G733" s="72" t="n"/>
      <c r="H733" s="72" t="n"/>
      <c r="I733" s="72" t="n"/>
      <c r="J733" s="71" t="n"/>
      <c r="K733" s="73" t="n"/>
    </row>
    <row r="734">
      <c r="A734" s="62" t="inlineStr">
        <is>
          <t>P</t>
        </is>
      </c>
      <c r="B734" s="60">
        <f>IF(D734&gt;1/1/2001,B733+1," ")</f>
        <v/>
      </c>
      <c r="C734" s="59">
        <f>IF(B734&lt;&gt;" ",CONCATENATE(A734,B734)," ")</f>
        <v/>
      </c>
      <c r="D734" s="69" t="n"/>
      <c r="E734" s="72" t="n"/>
      <c r="F734" s="72" t="n"/>
      <c r="G734" s="72" t="n"/>
      <c r="H734" s="72" t="n"/>
      <c r="I734" s="72" t="n"/>
      <c r="J734" s="71" t="n"/>
      <c r="K734" s="73" t="n"/>
    </row>
    <row r="735">
      <c r="A735" s="62" t="inlineStr">
        <is>
          <t>P</t>
        </is>
      </c>
      <c r="B735" s="60">
        <f>IF(D735&gt;1/1/2001,B734+1," ")</f>
        <v/>
      </c>
      <c r="C735" s="59">
        <f>IF(B735&lt;&gt;" ",CONCATENATE(A735,B735)," ")</f>
        <v/>
      </c>
      <c r="D735" s="69" t="n"/>
      <c r="E735" s="72" t="n"/>
      <c r="F735" s="72" t="n"/>
      <c r="G735" s="72" t="n"/>
      <c r="H735" s="72" t="n"/>
      <c r="I735" s="72" t="n"/>
      <c r="J735" s="71" t="n"/>
      <c r="K735" s="73" t="n"/>
    </row>
    <row r="736">
      <c r="A736" s="62" t="inlineStr">
        <is>
          <t>P</t>
        </is>
      </c>
      <c r="B736" s="60">
        <f>IF(D736&gt;1/1/2001,B735+1," ")</f>
        <v/>
      </c>
      <c r="C736" s="59">
        <f>IF(B736&lt;&gt;" ",CONCATENATE(A736,B736)," ")</f>
        <v/>
      </c>
      <c r="D736" s="69" t="n"/>
      <c r="E736" s="72" t="n"/>
      <c r="F736" s="72" t="n"/>
      <c r="G736" s="72" t="n"/>
      <c r="H736" s="72" t="n"/>
      <c r="I736" s="72" t="n"/>
      <c r="J736" s="71" t="n"/>
      <c r="K736" s="73" t="n"/>
    </row>
    <row r="737">
      <c r="A737" s="62" t="inlineStr">
        <is>
          <t>P</t>
        </is>
      </c>
      <c r="B737" s="60">
        <f>IF(D737&gt;1/1/2001,B736+1," ")</f>
        <v/>
      </c>
      <c r="C737" s="59">
        <f>IF(B737&lt;&gt;" ",CONCATENATE(A737,B737)," ")</f>
        <v/>
      </c>
      <c r="D737" s="69" t="n"/>
      <c r="E737" s="72" t="n"/>
      <c r="F737" s="72" t="n"/>
      <c r="G737" s="72" t="n"/>
      <c r="H737" s="72" t="n"/>
      <c r="I737" s="72" t="n"/>
      <c r="J737" s="71" t="n"/>
      <c r="K737" s="73" t="n"/>
    </row>
    <row r="738">
      <c r="A738" s="62" t="inlineStr">
        <is>
          <t>P</t>
        </is>
      </c>
      <c r="B738" s="60">
        <f>IF(D738&gt;1/1/2001,B737+1," ")</f>
        <v/>
      </c>
      <c r="C738" s="59">
        <f>IF(B738&lt;&gt;" ",CONCATENATE(A738,B738)," ")</f>
        <v/>
      </c>
      <c r="D738" s="69" t="n"/>
      <c r="E738" s="72" t="n"/>
      <c r="F738" s="72" t="n"/>
      <c r="G738" s="72" t="n"/>
      <c r="H738" s="72" t="n"/>
      <c r="I738" s="72" t="n"/>
      <c r="J738" s="71" t="n"/>
      <c r="K738" s="73" t="n"/>
    </row>
    <row r="739">
      <c r="A739" s="62" t="inlineStr">
        <is>
          <t>P</t>
        </is>
      </c>
      <c r="B739" s="60">
        <f>IF(D739&gt;1/1/2001,B738+1," ")</f>
        <v/>
      </c>
      <c r="C739" s="59">
        <f>IF(B739&lt;&gt;" ",CONCATENATE(A739,B739)," ")</f>
        <v/>
      </c>
      <c r="D739" s="69" t="n"/>
      <c r="E739" s="72" t="n"/>
      <c r="F739" s="72" t="n"/>
      <c r="G739" s="72" t="n"/>
      <c r="H739" s="72" t="n"/>
      <c r="I739" s="72" t="n"/>
      <c r="J739" s="71" t="n"/>
      <c r="K739" s="73" t="n"/>
    </row>
    <row r="740">
      <c r="A740" s="62" t="inlineStr">
        <is>
          <t>P</t>
        </is>
      </c>
      <c r="B740" s="60">
        <f>IF(D740&gt;1/1/2001,B739+1," ")</f>
        <v/>
      </c>
      <c r="C740" s="59">
        <f>IF(B740&lt;&gt;" ",CONCATENATE(A740,B740)," ")</f>
        <v/>
      </c>
      <c r="D740" s="69" t="n"/>
      <c r="E740" s="72" t="n"/>
      <c r="F740" s="72" t="n"/>
      <c r="G740" s="72" t="n"/>
      <c r="H740" s="72" t="n"/>
      <c r="I740" s="72" t="n"/>
      <c r="J740" s="71" t="n"/>
      <c r="K740" s="73" t="n"/>
    </row>
    <row r="741">
      <c r="A741" s="62" t="inlineStr">
        <is>
          <t>P</t>
        </is>
      </c>
      <c r="B741" s="60">
        <f>IF(D741&gt;1/1/2001,B740+1," ")</f>
        <v/>
      </c>
      <c r="C741" s="59">
        <f>IF(B741&lt;&gt;" ",CONCATENATE(A741,B741)," ")</f>
        <v/>
      </c>
      <c r="D741" s="69" t="n"/>
      <c r="E741" s="72" t="n"/>
      <c r="F741" s="72" t="n"/>
      <c r="G741" s="72" t="n"/>
      <c r="H741" s="72" t="n"/>
      <c r="I741" s="72" t="n"/>
      <c r="J741" s="71" t="n"/>
      <c r="K741" s="73" t="n"/>
    </row>
    <row r="742">
      <c r="A742" s="62" t="inlineStr">
        <is>
          <t>P</t>
        </is>
      </c>
      <c r="B742" s="60">
        <f>IF(D742&gt;1/1/2001,B741+1," ")</f>
        <v/>
      </c>
      <c r="C742" s="59">
        <f>IF(B742&lt;&gt;" ",CONCATENATE(A742,B742)," ")</f>
        <v/>
      </c>
      <c r="D742" s="69" t="n"/>
      <c r="E742" s="72" t="n"/>
      <c r="F742" s="72" t="n"/>
      <c r="G742" s="72" t="n"/>
      <c r="H742" s="72" t="n"/>
      <c r="I742" s="72" t="n"/>
      <c r="J742" s="71" t="n"/>
      <c r="K742" s="73" t="n"/>
    </row>
    <row r="743">
      <c r="A743" s="62" t="inlineStr">
        <is>
          <t>P</t>
        </is>
      </c>
      <c r="B743" s="60">
        <f>IF(D743&gt;1/1/2001,B742+1," ")</f>
        <v/>
      </c>
      <c r="C743" s="59">
        <f>IF(B743&lt;&gt;" ",CONCATENATE(A743,B743)," ")</f>
        <v/>
      </c>
      <c r="D743" s="69" t="n"/>
      <c r="E743" s="72" t="n"/>
      <c r="F743" s="72" t="n"/>
      <c r="G743" s="72" t="n"/>
      <c r="H743" s="72" t="n"/>
      <c r="I743" s="72" t="n"/>
      <c r="J743" s="71" t="n"/>
      <c r="K743" s="73" t="n"/>
    </row>
    <row r="744">
      <c r="A744" s="62" t="inlineStr">
        <is>
          <t>P</t>
        </is>
      </c>
      <c r="B744" s="60">
        <f>IF(D744&gt;1/1/2001,B743+1," ")</f>
        <v/>
      </c>
      <c r="C744" s="59">
        <f>IF(B744&lt;&gt;" ",CONCATENATE(A744,B744)," ")</f>
        <v/>
      </c>
      <c r="D744" s="69" t="n"/>
      <c r="E744" s="72" t="n"/>
      <c r="F744" s="72" t="n"/>
      <c r="G744" s="72" t="n"/>
      <c r="H744" s="72" t="n"/>
      <c r="I744" s="72" t="n"/>
      <c r="J744" s="71" t="n"/>
      <c r="K744" s="73" t="n"/>
    </row>
    <row r="745">
      <c r="A745" s="62" t="inlineStr">
        <is>
          <t>P</t>
        </is>
      </c>
      <c r="B745" s="60">
        <f>IF(D745&gt;1/1/2001,B744+1," ")</f>
        <v/>
      </c>
      <c r="C745" s="59">
        <f>IF(B745&lt;&gt;" ",CONCATENATE(A745,B745)," ")</f>
        <v/>
      </c>
      <c r="D745" s="69" t="n"/>
      <c r="E745" s="72" t="n"/>
      <c r="F745" s="72" t="n"/>
      <c r="G745" s="72" t="n"/>
      <c r="H745" s="72" t="n"/>
      <c r="I745" s="72" t="n"/>
      <c r="J745" s="71" t="n"/>
      <c r="K745" s="73" t="n"/>
    </row>
    <row r="746">
      <c r="A746" s="62" t="inlineStr">
        <is>
          <t>P</t>
        </is>
      </c>
      <c r="B746" s="60">
        <f>IF(D746&gt;1/1/2001,B745+1," ")</f>
        <v/>
      </c>
      <c r="C746" s="59">
        <f>IF(B746&lt;&gt;" ",CONCATENATE(A746,B746)," ")</f>
        <v/>
      </c>
      <c r="D746" s="69" t="n"/>
      <c r="E746" s="72" t="n"/>
      <c r="F746" s="72" t="n"/>
      <c r="G746" s="72" t="n"/>
      <c r="H746" s="72" t="n"/>
      <c r="I746" s="72" t="n"/>
      <c r="J746" s="71" t="n"/>
      <c r="K746" s="73" t="n"/>
    </row>
    <row r="747">
      <c r="A747" s="62" t="inlineStr">
        <is>
          <t>P</t>
        </is>
      </c>
      <c r="B747" s="60">
        <f>IF(D747&gt;1/1/2001,B746+1," ")</f>
        <v/>
      </c>
      <c r="C747" s="59">
        <f>IF(B747&lt;&gt;" ",CONCATENATE(A747,B747)," ")</f>
        <v/>
      </c>
      <c r="D747" s="69" t="n"/>
      <c r="E747" s="72" t="n"/>
      <c r="F747" s="72" t="n"/>
      <c r="G747" s="72" t="n"/>
      <c r="H747" s="72" t="n"/>
      <c r="I747" s="72" t="n"/>
      <c r="J747" s="71" t="n"/>
      <c r="K747" s="73" t="n"/>
    </row>
    <row r="748">
      <c r="A748" s="62" t="inlineStr">
        <is>
          <t>P</t>
        </is>
      </c>
      <c r="B748" s="60">
        <f>IF(D748&gt;1/1/2001,B747+1," ")</f>
        <v/>
      </c>
      <c r="C748" s="59">
        <f>IF(B748&lt;&gt;" ",CONCATENATE(A748,B748)," ")</f>
        <v/>
      </c>
      <c r="D748" s="69" t="n"/>
      <c r="E748" s="72" t="n"/>
      <c r="F748" s="72" t="n"/>
      <c r="G748" s="72" t="n"/>
      <c r="H748" s="72" t="n"/>
      <c r="I748" s="72" t="n"/>
      <c r="J748" s="71" t="n"/>
      <c r="K748" s="73" t="n"/>
    </row>
    <row r="749">
      <c r="A749" s="62" t="inlineStr">
        <is>
          <t>P</t>
        </is>
      </c>
      <c r="B749" s="60">
        <f>IF(D749&gt;1/1/2001,B748+1," ")</f>
        <v/>
      </c>
      <c r="C749" s="59">
        <f>IF(B749&lt;&gt;" ",CONCATENATE(A749,B749)," ")</f>
        <v/>
      </c>
      <c r="D749" s="69" t="n"/>
      <c r="E749" s="72" t="n"/>
      <c r="F749" s="72" t="n"/>
      <c r="G749" s="72" t="n"/>
      <c r="H749" s="72" t="n"/>
      <c r="I749" s="72" t="n"/>
      <c r="J749" s="71" t="n"/>
      <c r="K749" s="73" t="n"/>
    </row>
    <row r="750">
      <c r="A750" s="62" t="inlineStr">
        <is>
          <t>P</t>
        </is>
      </c>
      <c r="B750" s="60">
        <f>IF(D750&gt;1/1/2001,B749+1," ")</f>
        <v/>
      </c>
      <c r="C750" s="59">
        <f>IF(B750&lt;&gt;" ",CONCATENATE(A750,B750)," ")</f>
        <v/>
      </c>
      <c r="D750" s="69" t="n"/>
      <c r="E750" s="72" t="n"/>
      <c r="F750" s="72" t="n"/>
      <c r="G750" s="72" t="n"/>
      <c r="H750" s="72" t="n"/>
      <c r="I750" s="72" t="n"/>
      <c r="J750" s="71" t="n"/>
      <c r="K750" s="73" t="n"/>
    </row>
    <row r="751">
      <c r="A751" s="62" t="inlineStr">
        <is>
          <t>P</t>
        </is>
      </c>
      <c r="B751" s="60">
        <f>IF(D751&gt;1/1/2001,B750+1," ")</f>
        <v/>
      </c>
      <c r="C751" s="59">
        <f>IF(B751&lt;&gt;" ",CONCATENATE(A751,B751)," ")</f>
        <v/>
      </c>
      <c r="D751" s="69" t="n"/>
      <c r="E751" s="72" t="n"/>
      <c r="F751" s="72" t="n"/>
      <c r="G751" s="72" t="n"/>
      <c r="H751" s="72" t="n"/>
      <c r="I751" s="72" t="n"/>
      <c r="J751" s="71" t="n"/>
      <c r="K751" s="73" t="n"/>
    </row>
    <row r="752">
      <c r="A752" s="62" t="inlineStr">
        <is>
          <t>P</t>
        </is>
      </c>
      <c r="B752" s="60">
        <f>IF(D752&gt;1/1/2001,B751+1," ")</f>
        <v/>
      </c>
      <c r="C752" s="59">
        <f>IF(B752&lt;&gt;" ",CONCATENATE(A752,B752)," ")</f>
        <v/>
      </c>
      <c r="D752" s="69" t="n"/>
      <c r="E752" s="72" t="n"/>
      <c r="F752" s="72" t="n"/>
      <c r="G752" s="72" t="n"/>
      <c r="H752" s="72" t="n"/>
      <c r="I752" s="72" t="n"/>
      <c r="J752" s="71" t="n"/>
      <c r="K752" s="73" t="n"/>
    </row>
    <row r="753">
      <c r="A753" s="62" t="inlineStr">
        <is>
          <t>P</t>
        </is>
      </c>
      <c r="B753" s="60">
        <f>IF(D753&gt;1/1/2001,B752+1," ")</f>
        <v/>
      </c>
      <c r="C753" s="59">
        <f>IF(B753&lt;&gt;" ",CONCATENATE(A753,B753)," ")</f>
        <v/>
      </c>
      <c r="D753" s="69" t="n"/>
      <c r="E753" s="72" t="n"/>
      <c r="F753" s="72" t="n"/>
      <c r="G753" s="72" t="n"/>
      <c r="H753" s="72" t="n"/>
      <c r="I753" s="72" t="n"/>
      <c r="J753" s="71" t="n"/>
      <c r="K753" s="73" t="n"/>
    </row>
    <row r="754">
      <c r="A754" s="62" t="inlineStr">
        <is>
          <t>P</t>
        </is>
      </c>
      <c r="B754" s="60">
        <f>IF(D754&gt;1/1/2001,B753+1," ")</f>
        <v/>
      </c>
      <c r="C754" s="59">
        <f>IF(B754&lt;&gt;" ",CONCATENATE(A754,B754)," ")</f>
        <v/>
      </c>
      <c r="D754" s="69" t="n"/>
      <c r="E754" s="72" t="n"/>
      <c r="F754" s="72" t="n"/>
      <c r="G754" s="72" t="n"/>
      <c r="H754" s="72" t="n"/>
      <c r="I754" s="72" t="n"/>
      <c r="J754" s="71" t="n"/>
      <c r="K754" s="73" t="n"/>
    </row>
    <row r="755">
      <c r="A755" s="62" t="inlineStr">
        <is>
          <t>P</t>
        </is>
      </c>
      <c r="B755" s="60">
        <f>IF(D755&gt;1/1/2001,B754+1," ")</f>
        <v/>
      </c>
      <c r="C755" s="59">
        <f>IF(B755&lt;&gt;" ",CONCATENATE(A755,B755)," ")</f>
        <v/>
      </c>
      <c r="D755" s="69" t="n"/>
      <c r="E755" s="72" t="n"/>
      <c r="F755" s="72" t="n"/>
      <c r="G755" s="72" t="n"/>
      <c r="H755" s="72" t="n"/>
      <c r="I755" s="72" t="n"/>
      <c r="J755" s="71" t="n"/>
      <c r="K755" s="73" t="n"/>
    </row>
    <row r="756">
      <c r="A756" s="62" t="inlineStr">
        <is>
          <t>P</t>
        </is>
      </c>
      <c r="B756" s="60">
        <f>IF(D756&gt;1/1/2001,B755+1," ")</f>
        <v/>
      </c>
      <c r="C756" s="59">
        <f>IF(B756&lt;&gt;" ",CONCATENATE(A756,B756)," ")</f>
        <v/>
      </c>
      <c r="D756" s="69" t="n"/>
      <c r="E756" s="72" t="n"/>
      <c r="F756" s="72" t="n"/>
      <c r="G756" s="72" t="n"/>
      <c r="H756" s="72" t="n"/>
      <c r="I756" s="72" t="n"/>
      <c r="J756" s="71" t="n"/>
      <c r="K756" s="73" t="n"/>
    </row>
    <row r="757">
      <c r="A757" s="62" t="inlineStr">
        <is>
          <t>P</t>
        </is>
      </c>
      <c r="B757" s="60">
        <f>IF(D757&gt;1/1/2001,B756+1," ")</f>
        <v/>
      </c>
      <c r="C757" s="59">
        <f>IF(B757&lt;&gt;" ",CONCATENATE(A757,B757)," ")</f>
        <v/>
      </c>
      <c r="D757" s="69" t="n"/>
      <c r="E757" s="72" t="n"/>
      <c r="F757" s="72" t="n"/>
      <c r="G757" s="72" t="n"/>
      <c r="H757" s="72" t="n"/>
      <c r="I757" s="72" t="n"/>
      <c r="J757" s="71" t="n"/>
      <c r="K757" s="73" t="n"/>
    </row>
    <row r="758">
      <c r="A758" s="62" t="inlineStr">
        <is>
          <t>P</t>
        </is>
      </c>
      <c r="B758" s="60">
        <f>IF(D758&gt;1/1/2001,B757+1," ")</f>
        <v/>
      </c>
      <c r="C758" s="59">
        <f>IF(B758&lt;&gt;" ",CONCATENATE(A758,B758)," ")</f>
        <v/>
      </c>
      <c r="D758" s="69" t="n"/>
      <c r="E758" s="72" t="n"/>
      <c r="F758" s="72" t="n"/>
      <c r="G758" s="72" t="n"/>
      <c r="H758" s="72" t="n"/>
      <c r="I758" s="72" t="n"/>
      <c r="J758" s="71" t="n"/>
      <c r="K758" s="73" t="n"/>
    </row>
    <row r="759">
      <c r="A759" s="62" t="inlineStr">
        <is>
          <t>P</t>
        </is>
      </c>
      <c r="B759" s="60">
        <f>IF(D759&gt;1/1/2001,B758+1," ")</f>
        <v/>
      </c>
      <c r="C759" s="59">
        <f>IF(B759&lt;&gt;" ",CONCATENATE(A759,B759)," ")</f>
        <v/>
      </c>
      <c r="D759" s="69" t="n"/>
      <c r="E759" s="72" t="n"/>
      <c r="F759" s="72" t="n"/>
      <c r="G759" s="72" t="n"/>
      <c r="H759" s="72" t="n"/>
      <c r="I759" s="72" t="n"/>
      <c r="J759" s="71" t="n"/>
      <c r="K759" s="73" t="n"/>
    </row>
    <row r="760">
      <c r="A760" s="62" t="inlineStr">
        <is>
          <t>P</t>
        </is>
      </c>
      <c r="B760" s="60">
        <f>IF(D760&gt;1/1/2001,B759+1," ")</f>
        <v/>
      </c>
      <c r="C760" s="59">
        <f>IF(B760&lt;&gt;" ",CONCATENATE(A760,B760)," ")</f>
        <v/>
      </c>
      <c r="D760" s="69" t="n"/>
      <c r="E760" s="72" t="n"/>
      <c r="F760" s="72" t="n"/>
      <c r="G760" s="72" t="n"/>
      <c r="H760" s="72" t="n"/>
      <c r="I760" s="72" t="n"/>
      <c r="J760" s="71" t="n"/>
      <c r="K760" s="73" t="n"/>
    </row>
    <row r="761">
      <c r="A761" s="62" t="inlineStr">
        <is>
          <t>P</t>
        </is>
      </c>
      <c r="B761" s="60">
        <f>IF(D761&gt;1/1/2001,B760+1," ")</f>
        <v/>
      </c>
      <c r="C761" s="59">
        <f>IF(B761&lt;&gt;" ",CONCATENATE(A761,B761)," ")</f>
        <v/>
      </c>
      <c r="D761" s="69" t="n"/>
      <c r="E761" s="72" t="n"/>
      <c r="F761" s="72" t="n"/>
      <c r="G761" s="72" t="n"/>
      <c r="H761" s="72" t="n"/>
      <c r="I761" s="72" t="n"/>
      <c r="J761" s="71" t="n"/>
      <c r="K761" s="73" t="n"/>
    </row>
    <row r="762">
      <c r="A762" s="62" t="inlineStr">
        <is>
          <t>P</t>
        </is>
      </c>
      <c r="B762" s="60">
        <f>IF(D762&gt;1/1/2001,B761+1," ")</f>
        <v/>
      </c>
      <c r="C762" s="59">
        <f>IF(B762&lt;&gt;" ",CONCATENATE(A762,B762)," ")</f>
        <v/>
      </c>
      <c r="D762" s="69" t="n"/>
      <c r="E762" s="72" t="n"/>
      <c r="F762" s="72" t="n"/>
      <c r="G762" s="72" t="n"/>
      <c r="H762" s="72" t="n"/>
      <c r="I762" s="72" t="n"/>
      <c r="J762" s="71" t="n"/>
      <c r="K762" s="73" t="n"/>
    </row>
    <row r="763">
      <c r="A763" s="62" t="inlineStr">
        <is>
          <t>P</t>
        </is>
      </c>
      <c r="B763" s="60">
        <f>IF(D763&gt;1/1/2001,B762+1," ")</f>
        <v/>
      </c>
      <c r="C763" s="59">
        <f>IF(B763&lt;&gt;" ",CONCATENATE(A763,B763)," ")</f>
        <v/>
      </c>
      <c r="D763" s="69" t="n"/>
      <c r="E763" s="72" t="n"/>
      <c r="F763" s="72" t="n"/>
      <c r="G763" s="72" t="n"/>
      <c r="H763" s="72" t="n"/>
      <c r="I763" s="72" t="n"/>
      <c r="J763" s="71" t="n"/>
      <c r="K763" s="73" t="n"/>
    </row>
    <row r="764">
      <c r="A764" s="62" t="inlineStr">
        <is>
          <t>P</t>
        </is>
      </c>
      <c r="B764" s="60">
        <f>IF(D764&gt;1/1/2001,B763+1," ")</f>
        <v/>
      </c>
      <c r="C764" s="59">
        <f>IF(B764&lt;&gt;" ",CONCATENATE(A764,B764)," ")</f>
        <v/>
      </c>
      <c r="D764" s="69" t="n"/>
      <c r="E764" s="72" t="n"/>
      <c r="F764" s="72" t="n"/>
      <c r="G764" s="72" t="n"/>
      <c r="H764" s="72" t="n"/>
      <c r="I764" s="72" t="n"/>
      <c r="J764" s="71" t="n"/>
      <c r="K764" s="73" t="n"/>
    </row>
    <row r="765">
      <c r="A765" s="62" t="inlineStr">
        <is>
          <t>P</t>
        </is>
      </c>
      <c r="B765" s="60">
        <f>IF(D765&gt;1/1/2001,B764+1," ")</f>
        <v/>
      </c>
      <c r="C765" s="59">
        <f>IF(B765&lt;&gt;" ",CONCATENATE(A765,B765)," ")</f>
        <v/>
      </c>
      <c r="D765" s="69" t="n"/>
      <c r="E765" s="72" t="n"/>
      <c r="F765" s="72" t="n"/>
      <c r="G765" s="72" t="n"/>
      <c r="H765" s="72" t="n"/>
      <c r="I765" s="72" t="n"/>
      <c r="J765" s="71" t="n"/>
      <c r="K765" s="73" t="n"/>
    </row>
    <row r="766">
      <c r="A766" s="62" t="inlineStr">
        <is>
          <t>P</t>
        </is>
      </c>
      <c r="B766" s="60">
        <f>IF(D766&gt;1/1/2001,B765+1," ")</f>
        <v/>
      </c>
      <c r="C766" s="59">
        <f>IF(B766&lt;&gt;" ",CONCATENATE(A766,B766)," ")</f>
        <v/>
      </c>
      <c r="D766" s="69" t="n"/>
      <c r="E766" s="72" t="n"/>
      <c r="F766" s="72" t="n"/>
      <c r="G766" s="72" t="n"/>
      <c r="H766" s="72" t="n"/>
      <c r="I766" s="72" t="n"/>
      <c r="J766" s="71" t="n"/>
      <c r="K766" s="73" t="n"/>
    </row>
    <row r="767">
      <c r="A767" s="62" t="inlineStr">
        <is>
          <t>P</t>
        </is>
      </c>
      <c r="B767" s="60">
        <f>IF(D767&gt;1/1/2001,B766+1," ")</f>
        <v/>
      </c>
      <c r="C767" s="59">
        <f>IF(B767&lt;&gt;" ",CONCATENATE(A767,B767)," ")</f>
        <v/>
      </c>
      <c r="D767" s="69" t="n"/>
      <c r="E767" s="72" t="n"/>
      <c r="F767" s="72" t="n"/>
      <c r="G767" s="72" t="n"/>
      <c r="H767" s="72" t="n"/>
      <c r="I767" s="72" t="n"/>
      <c r="J767" s="71" t="n"/>
      <c r="K767" s="73" t="n"/>
    </row>
    <row r="768">
      <c r="A768" s="62" t="inlineStr">
        <is>
          <t>P</t>
        </is>
      </c>
      <c r="B768" s="60">
        <f>IF(D768&gt;1/1/2001,B767+1," ")</f>
        <v/>
      </c>
      <c r="C768" s="59">
        <f>IF(B768&lt;&gt;" ",CONCATENATE(A768,B768)," ")</f>
        <v/>
      </c>
      <c r="D768" s="69" t="n"/>
      <c r="E768" s="72" t="n"/>
      <c r="F768" s="72" t="n"/>
      <c r="G768" s="72" t="n"/>
      <c r="H768" s="72" t="n"/>
      <c r="I768" s="72" t="n"/>
      <c r="J768" s="71" t="n"/>
      <c r="K768" s="73" t="n"/>
    </row>
    <row r="769">
      <c r="A769" s="62" t="inlineStr">
        <is>
          <t>P</t>
        </is>
      </c>
      <c r="B769" s="60">
        <f>IF(D769&gt;1/1/2001,B768+1," ")</f>
        <v/>
      </c>
      <c r="C769" s="59">
        <f>IF(B769&lt;&gt;" ",CONCATENATE(A769,B769)," ")</f>
        <v/>
      </c>
      <c r="D769" s="69" t="n"/>
      <c r="E769" s="72" t="n"/>
      <c r="F769" s="72" t="n"/>
      <c r="G769" s="72" t="n"/>
      <c r="H769" s="72" t="n"/>
      <c r="I769" s="72" t="n"/>
      <c r="J769" s="71" t="n"/>
      <c r="K769" s="73" t="n"/>
    </row>
    <row r="770">
      <c r="A770" s="62" t="inlineStr">
        <is>
          <t>P</t>
        </is>
      </c>
      <c r="B770" s="60">
        <f>IF(D770&gt;1/1/2001,B769+1," ")</f>
        <v/>
      </c>
      <c r="C770" s="59">
        <f>IF(B770&lt;&gt;" ",CONCATENATE(A770,B770)," ")</f>
        <v/>
      </c>
      <c r="D770" s="69" t="n"/>
      <c r="E770" s="72" t="n"/>
      <c r="F770" s="72" t="n"/>
      <c r="G770" s="72" t="n"/>
      <c r="H770" s="72" t="n"/>
      <c r="I770" s="72" t="n"/>
      <c r="J770" s="71" t="n"/>
      <c r="K770" s="73" t="n"/>
    </row>
    <row r="771">
      <c r="A771" s="62" t="inlineStr">
        <is>
          <t>P</t>
        </is>
      </c>
      <c r="B771" s="60">
        <f>IF(D771&gt;1/1/2001,B770+1," ")</f>
        <v/>
      </c>
      <c r="C771" s="59">
        <f>IF(B771&lt;&gt;" ",CONCATENATE(A771,B771)," ")</f>
        <v/>
      </c>
      <c r="D771" s="69" t="n"/>
      <c r="E771" s="72" t="n"/>
      <c r="F771" s="72" t="n"/>
      <c r="G771" s="72" t="n"/>
      <c r="H771" s="72" t="n"/>
      <c r="I771" s="72" t="n"/>
      <c r="J771" s="71" t="n"/>
      <c r="K771" s="73" t="n"/>
    </row>
    <row r="772">
      <c r="A772" s="62" t="inlineStr">
        <is>
          <t>P</t>
        </is>
      </c>
      <c r="B772" s="60">
        <f>IF(D772&gt;1/1/2001,B771+1," ")</f>
        <v/>
      </c>
      <c r="C772" s="59">
        <f>IF(B772&lt;&gt;" ",CONCATENATE(A772,B772)," ")</f>
        <v/>
      </c>
      <c r="D772" s="69" t="n"/>
      <c r="E772" s="72" t="n"/>
      <c r="F772" s="72" t="n"/>
      <c r="G772" s="72" t="n"/>
      <c r="H772" s="72" t="n"/>
      <c r="I772" s="72" t="n"/>
      <c r="J772" s="71" t="n"/>
      <c r="K772" s="73" t="n"/>
    </row>
    <row r="773">
      <c r="A773" s="62" t="inlineStr">
        <is>
          <t>P</t>
        </is>
      </c>
      <c r="B773" s="60">
        <f>IF(D773&gt;1/1/2001,B772+1," ")</f>
        <v/>
      </c>
      <c r="C773" s="59">
        <f>IF(B773&lt;&gt;" ",CONCATENATE(A773,B773)," ")</f>
        <v/>
      </c>
      <c r="D773" s="69" t="n"/>
      <c r="E773" s="72" t="n"/>
      <c r="F773" s="72" t="n"/>
      <c r="G773" s="72" t="n"/>
      <c r="H773" s="72" t="n"/>
      <c r="I773" s="72" t="n"/>
      <c r="J773" s="71" t="n"/>
      <c r="K773" s="73" t="n"/>
    </row>
    <row r="774">
      <c r="A774" s="62" t="inlineStr">
        <is>
          <t>P</t>
        </is>
      </c>
      <c r="B774" s="60">
        <f>IF(D774&gt;1/1/2001,B773+1," ")</f>
        <v/>
      </c>
      <c r="C774" s="59">
        <f>IF(B774&lt;&gt;" ",CONCATENATE(A774,B774)," ")</f>
        <v/>
      </c>
      <c r="D774" s="69" t="n"/>
      <c r="E774" s="72" t="n"/>
      <c r="F774" s="72" t="n"/>
      <c r="G774" s="72" t="n"/>
      <c r="H774" s="72" t="n"/>
      <c r="I774" s="72" t="n"/>
      <c r="J774" s="71" t="n"/>
      <c r="K774" s="73" t="n"/>
    </row>
    <row r="775">
      <c r="A775" s="62" t="inlineStr">
        <is>
          <t>P</t>
        </is>
      </c>
      <c r="B775" s="60">
        <f>IF(D775&gt;1/1/2001,B774+1," ")</f>
        <v/>
      </c>
      <c r="C775" s="59">
        <f>IF(B775&lt;&gt;" ",CONCATENATE(A775,B775)," ")</f>
        <v/>
      </c>
      <c r="D775" s="69" t="n"/>
      <c r="E775" s="72" t="n"/>
      <c r="F775" s="72" t="n"/>
      <c r="G775" s="72" t="n"/>
      <c r="H775" s="72" t="n"/>
      <c r="I775" s="72" t="n"/>
      <c r="J775" s="71" t="n"/>
      <c r="K775" s="73" t="n"/>
    </row>
    <row r="776">
      <c r="A776" s="62" t="inlineStr">
        <is>
          <t>P</t>
        </is>
      </c>
      <c r="B776" s="60">
        <f>IF(D776&gt;1/1/2001,B775+1," ")</f>
        <v/>
      </c>
      <c r="C776" s="59">
        <f>IF(B776&lt;&gt;" ",CONCATENATE(A776,B776)," ")</f>
        <v/>
      </c>
      <c r="D776" s="69" t="n"/>
      <c r="E776" s="72" t="n"/>
      <c r="F776" s="72" t="n"/>
      <c r="G776" s="72" t="n"/>
      <c r="H776" s="72" t="n"/>
      <c r="I776" s="72" t="n"/>
      <c r="J776" s="71" t="n"/>
      <c r="K776" s="73" t="n"/>
    </row>
    <row r="777">
      <c r="A777" s="62" t="inlineStr">
        <is>
          <t>P</t>
        </is>
      </c>
      <c r="B777" s="60">
        <f>IF(D777&gt;1/1/2001,B776+1," ")</f>
        <v/>
      </c>
      <c r="C777" s="59">
        <f>IF(B777&lt;&gt;" ",CONCATENATE(A777,B777)," ")</f>
        <v/>
      </c>
      <c r="D777" s="69" t="n"/>
      <c r="E777" s="72" t="n"/>
      <c r="F777" s="72" t="n"/>
      <c r="G777" s="72" t="n"/>
      <c r="H777" s="72" t="n"/>
      <c r="I777" s="72" t="n"/>
      <c r="J777" s="71" t="n"/>
      <c r="K777" s="73" t="n"/>
    </row>
    <row r="778">
      <c r="A778" s="62" t="inlineStr">
        <is>
          <t>P</t>
        </is>
      </c>
      <c r="B778" s="60">
        <f>IF(D778&gt;1/1/2001,B777+1," ")</f>
        <v/>
      </c>
      <c r="C778" s="59">
        <f>IF(B778&lt;&gt;" ",CONCATENATE(A778,B778)," ")</f>
        <v/>
      </c>
      <c r="D778" s="69" t="n"/>
      <c r="E778" s="72" t="n"/>
      <c r="F778" s="72" t="n"/>
      <c r="G778" s="72" t="n"/>
      <c r="H778" s="72" t="n"/>
      <c r="I778" s="72" t="n"/>
      <c r="J778" s="71" t="n"/>
      <c r="K778" s="73" t="n"/>
    </row>
    <row r="779">
      <c r="A779" s="62" t="inlineStr">
        <is>
          <t>P</t>
        </is>
      </c>
      <c r="B779" s="60">
        <f>IF(D779&gt;1/1/2001,B778+1," ")</f>
        <v/>
      </c>
      <c r="C779" s="59">
        <f>IF(B779&lt;&gt;" ",CONCATENATE(A779,B779)," ")</f>
        <v/>
      </c>
      <c r="D779" s="69" t="n"/>
      <c r="E779" s="72" t="n"/>
      <c r="F779" s="72" t="n"/>
      <c r="G779" s="72" t="n"/>
      <c r="H779" s="72" t="n"/>
      <c r="I779" s="72" t="n"/>
      <c r="J779" s="71" t="n"/>
      <c r="K779" s="73" t="n"/>
    </row>
    <row r="780">
      <c r="A780" s="62" t="inlineStr">
        <is>
          <t>P</t>
        </is>
      </c>
      <c r="B780" s="60">
        <f>IF(D780&gt;1/1/2001,B779+1," ")</f>
        <v/>
      </c>
      <c r="C780" s="59">
        <f>IF(B780&lt;&gt;" ",CONCATENATE(A780,B780)," ")</f>
        <v/>
      </c>
      <c r="D780" s="69" t="n"/>
      <c r="E780" s="72" t="n"/>
      <c r="F780" s="72" t="n"/>
      <c r="G780" s="72" t="n"/>
      <c r="H780" s="72" t="n"/>
      <c r="I780" s="72" t="n"/>
      <c r="J780" s="71" t="n"/>
      <c r="K780" s="73" t="n"/>
    </row>
    <row r="781">
      <c r="A781" s="62" t="inlineStr">
        <is>
          <t>P</t>
        </is>
      </c>
      <c r="B781" s="60">
        <f>IF(D781&gt;1/1/2001,B780+1," ")</f>
        <v/>
      </c>
      <c r="C781" s="59">
        <f>IF(B781&lt;&gt;" ",CONCATENATE(A781,B781)," ")</f>
        <v/>
      </c>
      <c r="D781" s="69" t="n"/>
      <c r="E781" s="72" t="n"/>
      <c r="F781" s="72" t="n"/>
      <c r="G781" s="72" t="n"/>
      <c r="H781" s="72" t="n"/>
      <c r="I781" s="72" t="n"/>
      <c r="J781" s="71" t="n"/>
      <c r="K781" s="73" t="n"/>
    </row>
    <row r="782">
      <c r="A782" s="62" t="inlineStr">
        <is>
          <t>P</t>
        </is>
      </c>
      <c r="B782" s="60">
        <f>IF(D782&gt;1/1/2001,B781+1," ")</f>
        <v/>
      </c>
      <c r="C782" s="59">
        <f>IF(B782&lt;&gt;" ",CONCATENATE(A782,B782)," ")</f>
        <v/>
      </c>
      <c r="D782" s="69" t="n"/>
      <c r="E782" s="72" t="n"/>
      <c r="F782" s="72" t="n"/>
      <c r="G782" s="72" t="n"/>
      <c r="H782" s="72" t="n"/>
      <c r="I782" s="72" t="n"/>
      <c r="J782" s="71" t="n"/>
      <c r="K782" s="73" t="n"/>
    </row>
    <row r="783">
      <c r="A783" s="62" t="inlineStr">
        <is>
          <t>P</t>
        </is>
      </c>
      <c r="B783" s="60">
        <f>IF(D783&gt;1/1/2001,B782+1," ")</f>
        <v/>
      </c>
      <c r="C783" s="59">
        <f>IF(B783&lt;&gt;" ",CONCATENATE(A783,B783)," ")</f>
        <v/>
      </c>
      <c r="D783" s="69" t="n"/>
      <c r="E783" s="72" t="n"/>
      <c r="F783" s="72" t="n"/>
      <c r="G783" s="72" t="n"/>
      <c r="H783" s="72" t="n"/>
      <c r="I783" s="72" t="n"/>
      <c r="J783" s="71" t="n"/>
      <c r="K783" s="73" t="n"/>
    </row>
    <row r="784">
      <c r="A784" s="62" t="inlineStr">
        <is>
          <t>P</t>
        </is>
      </c>
      <c r="B784" s="60">
        <f>IF(D784&gt;1/1/2001,B783+1," ")</f>
        <v/>
      </c>
      <c r="C784" s="59">
        <f>IF(B784&lt;&gt;" ",CONCATENATE(A784,B784)," ")</f>
        <v/>
      </c>
      <c r="D784" s="69" t="n"/>
      <c r="E784" s="72" t="n"/>
      <c r="F784" s="72" t="n"/>
      <c r="G784" s="72" t="n"/>
      <c r="H784" s="72" t="n"/>
      <c r="I784" s="72" t="n"/>
      <c r="J784" s="71" t="n"/>
      <c r="K784" s="73" t="n"/>
    </row>
    <row r="785">
      <c r="A785" s="62" t="inlineStr">
        <is>
          <t>P</t>
        </is>
      </c>
      <c r="B785" s="60">
        <f>IF(D785&gt;1/1/2001,B784+1," ")</f>
        <v/>
      </c>
      <c r="C785" s="59">
        <f>IF(B785&lt;&gt;" ",CONCATENATE(A785,B785)," ")</f>
        <v/>
      </c>
      <c r="D785" s="69" t="n"/>
      <c r="E785" s="72" t="n"/>
      <c r="F785" s="72" t="n"/>
      <c r="G785" s="72" t="n"/>
      <c r="H785" s="72" t="n"/>
      <c r="I785" s="72" t="n"/>
      <c r="J785" s="71" t="n"/>
      <c r="K785" s="73" t="n"/>
    </row>
    <row r="786">
      <c r="A786" s="62" t="inlineStr">
        <is>
          <t>P</t>
        </is>
      </c>
      <c r="B786" s="60">
        <f>IF(D786&gt;1/1/2001,B785+1," ")</f>
        <v/>
      </c>
      <c r="C786" s="59">
        <f>IF(B786&lt;&gt;" ",CONCATENATE(A786,B786)," ")</f>
        <v/>
      </c>
      <c r="D786" s="69" t="n"/>
      <c r="E786" s="72" t="n"/>
      <c r="F786" s="72" t="n"/>
      <c r="G786" s="72" t="n"/>
      <c r="H786" s="72" t="n"/>
      <c r="I786" s="72" t="n"/>
      <c r="J786" s="71" t="n"/>
      <c r="K786" s="73" t="n"/>
    </row>
    <row r="787">
      <c r="A787" s="62" t="inlineStr">
        <is>
          <t>P</t>
        </is>
      </c>
      <c r="B787" s="60">
        <f>IF(D787&gt;1/1/2001,B786+1," ")</f>
        <v/>
      </c>
      <c r="C787" s="59">
        <f>IF(B787&lt;&gt;" ",CONCATENATE(A787,B787)," ")</f>
        <v/>
      </c>
      <c r="D787" s="69" t="n"/>
      <c r="E787" s="72" t="n"/>
      <c r="F787" s="72" t="n"/>
      <c r="G787" s="72" t="n"/>
      <c r="H787" s="72" t="n"/>
      <c r="I787" s="72" t="n"/>
      <c r="J787" s="71" t="n"/>
      <c r="K787" s="73" t="n"/>
    </row>
    <row r="788">
      <c r="A788" s="62" t="inlineStr">
        <is>
          <t>P</t>
        </is>
      </c>
      <c r="B788" s="60">
        <f>IF(D788&gt;1/1/2001,B787+1," ")</f>
        <v/>
      </c>
      <c r="C788" s="59">
        <f>IF(B788&lt;&gt;" ",CONCATENATE(A788,B788)," ")</f>
        <v/>
      </c>
      <c r="D788" s="69" t="n"/>
      <c r="E788" s="72" t="n"/>
      <c r="F788" s="72" t="n"/>
      <c r="G788" s="72" t="n"/>
      <c r="H788" s="72" t="n"/>
      <c r="I788" s="72" t="n"/>
      <c r="J788" s="71" t="n"/>
      <c r="K788" s="73" t="n"/>
    </row>
    <row r="789">
      <c r="A789" s="62" t="inlineStr">
        <is>
          <t>P</t>
        </is>
      </c>
      <c r="B789" s="60">
        <f>IF(D789&gt;1/1/2001,B788+1," ")</f>
        <v/>
      </c>
      <c r="C789" s="59">
        <f>IF(B789&lt;&gt;" ",CONCATENATE(A789,B789)," ")</f>
        <v/>
      </c>
      <c r="D789" s="69" t="n"/>
      <c r="E789" s="72" t="n"/>
      <c r="F789" s="72" t="n"/>
      <c r="G789" s="72" t="n"/>
      <c r="H789" s="72" t="n"/>
      <c r="I789" s="72" t="n"/>
      <c r="J789" s="71" t="n"/>
      <c r="K789" s="73" t="n"/>
    </row>
    <row r="790">
      <c r="A790" s="62" t="inlineStr">
        <is>
          <t>P</t>
        </is>
      </c>
      <c r="B790" s="60">
        <f>IF(D790&gt;1/1/2001,B789+1," ")</f>
        <v/>
      </c>
      <c r="C790" s="59">
        <f>IF(B790&lt;&gt;" ",CONCATENATE(A790,B790)," ")</f>
        <v/>
      </c>
      <c r="D790" s="69" t="n"/>
      <c r="E790" s="72" t="n"/>
      <c r="F790" s="72" t="n"/>
      <c r="G790" s="72" t="n"/>
      <c r="H790" s="72" t="n"/>
      <c r="I790" s="72" t="n"/>
      <c r="J790" s="71" t="n"/>
      <c r="K790" s="73" t="n"/>
    </row>
    <row r="791">
      <c r="A791" s="62" t="inlineStr">
        <is>
          <t>P</t>
        </is>
      </c>
      <c r="B791" s="60">
        <f>IF(D791&gt;1/1/2001,B790+1," ")</f>
        <v/>
      </c>
      <c r="C791" s="59">
        <f>IF(B791&lt;&gt;" ",CONCATENATE(A791,B791)," ")</f>
        <v/>
      </c>
      <c r="D791" s="69" t="n"/>
      <c r="E791" s="72" t="n"/>
      <c r="F791" s="72" t="n"/>
      <c r="G791" s="72" t="n"/>
      <c r="H791" s="72" t="n"/>
      <c r="I791" s="72" t="n"/>
      <c r="J791" s="71" t="n"/>
      <c r="K791" s="73" t="n"/>
    </row>
    <row r="792">
      <c r="A792" s="62" t="inlineStr">
        <is>
          <t>P</t>
        </is>
      </c>
      <c r="B792" s="60">
        <f>IF(D792&gt;1/1/2001,B791+1," ")</f>
        <v/>
      </c>
      <c r="C792" s="59">
        <f>IF(B792&lt;&gt;" ",CONCATENATE(A792,B792)," ")</f>
        <v/>
      </c>
      <c r="D792" s="69" t="n"/>
      <c r="E792" s="72" t="n"/>
      <c r="F792" s="72" t="n"/>
      <c r="G792" s="72" t="n"/>
      <c r="H792" s="72" t="n"/>
      <c r="I792" s="72" t="n"/>
      <c r="J792" s="71" t="n"/>
      <c r="K792" s="73" t="n"/>
    </row>
    <row r="793">
      <c r="A793" s="62" t="inlineStr">
        <is>
          <t>P</t>
        </is>
      </c>
      <c r="B793" s="60">
        <f>IF(D793&gt;1/1/2001,B792+1," ")</f>
        <v/>
      </c>
      <c r="C793" s="59">
        <f>IF(B793&lt;&gt;" ",CONCATENATE(A793,B793)," ")</f>
        <v/>
      </c>
      <c r="D793" s="69" t="n"/>
      <c r="E793" s="72" t="n"/>
      <c r="F793" s="72" t="n"/>
      <c r="G793" s="72" t="n"/>
      <c r="H793" s="72" t="n"/>
      <c r="I793" s="72" t="n"/>
      <c r="J793" s="71" t="n"/>
      <c r="K793" s="73" t="n"/>
    </row>
    <row r="794">
      <c r="A794" s="62" t="inlineStr">
        <is>
          <t>P</t>
        </is>
      </c>
      <c r="B794" s="60">
        <f>IF(D794&gt;1/1/2001,B793+1," ")</f>
        <v/>
      </c>
      <c r="C794" s="59">
        <f>IF(B794&lt;&gt;" ",CONCATENATE(A794,B794)," ")</f>
        <v/>
      </c>
      <c r="D794" s="69" t="n"/>
      <c r="E794" s="72" t="n"/>
      <c r="F794" s="72" t="n"/>
      <c r="G794" s="72" t="n"/>
      <c r="H794" s="72" t="n"/>
      <c r="I794" s="72" t="n"/>
      <c r="J794" s="71" t="n"/>
      <c r="K794" s="73" t="n"/>
    </row>
    <row r="795">
      <c r="A795" s="62" t="inlineStr">
        <is>
          <t>P</t>
        </is>
      </c>
      <c r="B795" s="60">
        <f>IF(D795&gt;1/1/2001,B794+1," ")</f>
        <v/>
      </c>
      <c r="C795" s="59">
        <f>IF(B795&lt;&gt;" ",CONCATENATE(A795,B795)," ")</f>
        <v/>
      </c>
      <c r="D795" s="69" t="n"/>
      <c r="E795" s="72" t="n"/>
      <c r="F795" s="72" t="n"/>
      <c r="G795" s="72" t="n"/>
      <c r="H795" s="72" t="n"/>
      <c r="I795" s="72" t="n"/>
      <c r="J795" s="71" t="n"/>
      <c r="K795" s="73" t="n"/>
    </row>
    <row r="796">
      <c r="A796" s="62" t="inlineStr">
        <is>
          <t>P</t>
        </is>
      </c>
      <c r="B796" s="60">
        <f>IF(D796&gt;1/1/2001,B795+1," ")</f>
        <v/>
      </c>
      <c r="C796" s="59">
        <f>IF(B796&lt;&gt;" ",CONCATENATE(A796,B796)," ")</f>
        <v/>
      </c>
      <c r="D796" s="69" t="n"/>
      <c r="E796" s="72" t="n"/>
      <c r="F796" s="72" t="n"/>
      <c r="G796" s="72" t="n"/>
      <c r="H796" s="72" t="n"/>
      <c r="I796" s="72" t="n"/>
      <c r="J796" s="71" t="n"/>
      <c r="K796" s="73" t="n"/>
    </row>
    <row r="797">
      <c r="A797" s="62" t="inlineStr">
        <is>
          <t>P</t>
        </is>
      </c>
      <c r="B797" s="60">
        <f>IF(D797&gt;1/1/2001,B796+1," ")</f>
        <v/>
      </c>
      <c r="C797" s="59">
        <f>IF(B797&lt;&gt;" ",CONCATENATE(A797,B797)," ")</f>
        <v/>
      </c>
      <c r="D797" s="69" t="n"/>
      <c r="E797" s="72" t="n"/>
      <c r="F797" s="72" t="n"/>
      <c r="G797" s="72" t="n"/>
      <c r="H797" s="72" t="n"/>
      <c r="I797" s="72" t="n"/>
      <c r="J797" s="71" t="n"/>
      <c r="K797" s="73" t="n"/>
    </row>
    <row r="798">
      <c r="A798" s="62" t="inlineStr">
        <is>
          <t>P</t>
        </is>
      </c>
      <c r="B798" s="60">
        <f>IF(D798&gt;1/1/2001,B797+1," ")</f>
        <v/>
      </c>
      <c r="C798" s="59">
        <f>IF(B798&lt;&gt;" ",CONCATENATE(A798,B798)," ")</f>
        <v/>
      </c>
      <c r="D798" s="69" t="n"/>
      <c r="E798" s="72" t="n"/>
      <c r="F798" s="72" t="n"/>
      <c r="G798" s="72" t="n"/>
      <c r="H798" s="72" t="n"/>
      <c r="I798" s="72" t="n"/>
      <c r="J798" s="71" t="n"/>
      <c r="K798" s="73" t="n"/>
    </row>
    <row r="799">
      <c r="A799" s="62" t="inlineStr">
        <is>
          <t>P</t>
        </is>
      </c>
      <c r="B799" s="60">
        <f>IF(D799&gt;1/1/2001,B798+1," ")</f>
        <v/>
      </c>
      <c r="C799" s="59">
        <f>IF(B799&lt;&gt;" ",CONCATENATE(A799,B799)," ")</f>
        <v/>
      </c>
      <c r="D799" s="69" t="n"/>
      <c r="E799" s="72" t="n"/>
      <c r="F799" s="72" t="n"/>
      <c r="G799" s="72" t="n"/>
      <c r="H799" s="72" t="n"/>
      <c r="I799" s="72" t="n"/>
      <c r="J799" s="71" t="n"/>
      <c r="K799" s="73" t="n"/>
    </row>
    <row r="800">
      <c r="A800" s="62" t="inlineStr">
        <is>
          <t>P</t>
        </is>
      </c>
      <c r="B800" s="60">
        <f>IF(D800&gt;1/1/2001,B799+1," ")</f>
        <v/>
      </c>
      <c r="C800" s="59">
        <f>IF(B800&lt;&gt;" ",CONCATENATE(A800,B800)," ")</f>
        <v/>
      </c>
      <c r="D800" s="69" t="n"/>
      <c r="E800" s="72" t="n"/>
      <c r="F800" s="72" t="n"/>
      <c r="G800" s="72" t="n"/>
      <c r="H800" s="72" t="n"/>
      <c r="I800" s="72" t="n"/>
      <c r="J800" s="71" t="n"/>
      <c r="K800" s="73" t="n"/>
    </row>
    <row r="801">
      <c r="A801" s="62" t="inlineStr">
        <is>
          <t>P</t>
        </is>
      </c>
      <c r="B801" s="60">
        <f>IF(D801&gt;1/1/2001,B800+1," ")</f>
        <v/>
      </c>
      <c r="C801" s="59">
        <f>IF(B801&lt;&gt;" ",CONCATENATE(A801,B801)," ")</f>
        <v/>
      </c>
      <c r="D801" s="69" t="n"/>
      <c r="E801" s="72" t="n"/>
      <c r="F801" s="72" t="n"/>
      <c r="G801" s="72" t="n"/>
      <c r="H801" s="72" t="n"/>
      <c r="I801" s="72" t="n"/>
      <c r="J801" s="71" t="n"/>
      <c r="K801" s="73" t="n"/>
    </row>
    <row r="802">
      <c r="A802" s="62" t="inlineStr">
        <is>
          <t>P</t>
        </is>
      </c>
      <c r="B802" s="60">
        <f>IF(D802&gt;1/1/2001,B801+1," ")</f>
        <v/>
      </c>
      <c r="C802" s="59">
        <f>IF(B802&lt;&gt;" ",CONCATENATE(A802,B802)," ")</f>
        <v/>
      </c>
      <c r="D802" s="69" t="n"/>
      <c r="E802" s="72" t="n"/>
      <c r="F802" s="72" t="n"/>
      <c r="G802" s="72" t="n"/>
      <c r="H802" s="72" t="n"/>
      <c r="I802" s="72" t="n"/>
      <c r="J802" s="71" t="n"/>
      <c r="K802" s="73" t="n"/>
    </row>
    <row r="803">
      <c r="A803" s="62" t="inlineStr">
        <is>
          <t>P</t>
        </is>
      </c>
      <c r="B803" s="60">
        <f>IF(D803&gt;1/1/2001,B802+1," ")</f>
        <v/>
      </c>
      <c r="C803" s="59">
        <f>IF(B803&lt;&gt;" ",CONCATENATE(A803,B803)," ")</f>
        <v/>
      </c>
      <c r="D803" s="69" t="n"/>
      <c r="E803" s="72" t="n"/>
      <c r="F803" s="72" t="n"/>
      <c r="G803" s="72" t="n"/>
      <c r="H803" s="72" t="n"/>
      <c r="I803" s="72" t="n"/>
      <c r="J803" s="71" t="n"/>
      <c r="K803" s="73" t="n"/>
    </row>
    <row r="804">
      <c r="A804" s="62" t="inlineStr">
        <is>
          <t>P</t>
        </is>
      </c>
      <c r="B804" s="60">
        <f>IF(D804&gt;1/1/2001,B803+1," ")</f>
        <v/>
      </c>
      <c r="C804" s="59">
        <f>IF(B804&lt;&gt;" ",CONCATENATE(A804,B804)," ")</f>
        <v/>
      </c>
      <c r="D804" s="69" t="n"/>
      <c r="E804" s="72" t="n"/>
      <c r="F804" s="72" t="n"/>
      <c r="G804" s="72" t="n"/>
      <c r="H804" s="72" t="n"/>
      <c r="I804" s="72" t="n"/>
      <c r="J804" s="71" t="n"/>
      <c r="K804" s="73" t="n"/>
    </row>
    <row r="805">
      <c r="A805" s="62" t="inlineStr">
        <is>
          <t>P</t>
        </is>
      </c>
      <c r="B805" s="60">
        <f>IF(D805&gt;1/1/2001,B804+1," ")</f>
        <v/>
      </c>
      <c r="C805" s="59">
        <f>IF(B805&lt;&gt;" ",CONCATENATE(A805,B805)," ")</f>
        <v/>
      </c>
      <c r="D805" s="69" t="n"/>
      <c r="E805" s="72" t="n"/>
      <c r="F805" s="72" t="n"/>
      <c r="G805" s="72" t="n"/>
      <c r="H805" s="72" t="n"/>
      <c r="I805" s="72" t="n"/>
      <c r="J805" s="71" t="n"/>
      <c r="K805" s="73" t="n"/>
    </row>
    <row r="806">
      <c r="A806" s="62" t="inlineStr">
        <is>
          <t>P</t>
        </is>
      </c>
      <c r="B806" s="60">
        <f>IF(D806&gt;1/1/2001,B805+1," ")</f>
        <v/>
      </c>
      <c r="C806" s="59">
        <f>IF(B806&lt;&gt;" ",CONCATENATE(A806,B806)," ")</f>
        <v/>
      </c>
      <c r="D806" s="69" t="n"/>
      <c r="E806" s="72" t="n"/>
      <c r="F806" s="72" t="n"/>
      <c r="G806" s="72" t="n"/>
      <c r="H806" s="72" t="n"/>
      <c r="I806" s="72" t="n"/>
      <c r="J806" s="71" t="n"/>
      <c r="K806" s="73" t="n"/>
    </row>
    <row r="807">
      <c r="A807" s="62" t="inlineStr">
        <is>
          <t>P</t>
        </is>
      </c>
      <c r="B807" s="60">
        <f>IF(D807&gt;1/1/2001,B806+1," ")</f>
        <v/>
      </c>
      <c r="C807" s="59">
        <f>IF(B807&lt;&gt;" ",CONCATENATE(A807,B807)," ")</f>
        <v/>
      </c>
      <c r="D807" s="69" t="n"/>
      <c r="E807" s="72" t="n"/>
      <c r="F807" s="72" t="n"/>
      <c r="G807" s="72" t="n"/>
      <c r="H807" s="72" t="n"/>
      <c r="I807" s="72" t="n"/>
      <c r="J807" s="71" t="n"/>
      <c r="K807" s="73" t="n"/>
    </row>
    <row r="808">
      <c r="A808" s="62" t="inlineStr">
        <is>
          <t>P</t>
        </is>
      </c>
      <c r="B808" s="60">
        <f>IF(D808&gt;1/1/2001,B807+1," ")</f>
        <v/>
      </c>
      <c r="C808" s="59">
        <f>IF(B808&lt;&gt;" ",CONCATENATE(A808,B808)," ")</f>
        <v/>
      </c>
      <c r="D808" s="69" t="n"/>
      <c r="E808" s="72" t="n"/>
      <c r="F808" s="72" t="n"/>
      <c r="G808" s="72" t="n"/>
      <c r="H808" s="72" t="n"/>
      <c r="I808" s="72" t="n"/>
      <c r="J808" s="71" t="n"/>
      <c r="K808" s="73" t="n"/>
    </row>
    <row r="809">
      <c r="A809" s="62" t="inlineStr">
        <is>
          <t>P</t>
        </is>
      </c>
      <c r="B809" s="60">
        <f>IF(D809&gt;1/1/2001,B808+1," ")</f>
        <v/>
      </c>
      <c r="C809" s="59">
        <f>IF(B809&lt;&gt;" ",CONCATENATE(A809,B809)," ")</f>
        <v/>
      </c>
      <c r="D809" s="69" t="n"/>
      <c r="E809" s="72" t="n"/>
      <c r="F809" s="72" t="n"/>
      <c r="G809" s="72" t="n"/>
      <c r="H809" s="72" t="n"/>
      <c r="I809" s="72" t="n"/>
      <c r="J809" s="71" t="n"/>
      <c r="K809" s="73" t="n"/>
    </row>
    <row r="810">
      <c r="A810" s="62" t="inlineStr">
        <is>
          <t>P</t>
        </is>
      </c>
      <c r="B810" s="60">
        <f>IF(D810&gt;1/1/2001,B809+1," ")</f>
        <v/>
      </c>
      <c r="C810" s="59">
        <f>IF(B810&lt;&gt;" ",CONCATENATE(A810,B810)," ")</f>
        <v/>
      </c>
      <c r="D810" s="69" t="n"/>
      <c r="E810" s="72" t="n"/>
      <c r="F810" s="72" t="n"/>
      <c r="G810" s="72" t="n"/>
      <c r="H810" s="72" t="n"/>
      <c r="I810" s="72" t="n"/>
      <c r="J810" s="71" t="n"/>
      <c r="K810" s="73" t="n"/>
    </row>
    <row r="811">
      <c r="A811" s="62" t="inlineStr">
        <is>
          <t>P</t>
        </is>
      </c>
      <c r="B811" s="60">
        <f>IF(D811&gt;1/1/2001,B810+1," ")</f>
        <v/>
      </c>
      <c r="C811" s="59">
        <f>IF(B811&lt;&gt;" ",CONCATENATE(A811,B811)," ")</f>
        <v/>
      </c>
      <c r="D811" s="69" t="n"/>
      <c r="E811" s="72" t="n"/>
      <c r="F811" s="72" t="n"/>
      <c r="G811" s="72" t="n"/>
      <c r="H811" s="72" t="n"/>
      <c r="I811" s="72" t="n"/>
      <c r="J811" s="71" t="n"/>
      <c r="K811" s="73" t="n"/>
    </row>
    <row r="812">
      <c r="A812" s="62" t="inlineStr">
        <is>
          <t>P</t>
        </is>
      </c>
      <c r="B812" s="60">
        <f>IF(D812&gt;1/1/2001,B811+1," ")</f>
        <v/>
      </c>
      <c r="C812" s="59">
        <f>IF(B812&lt;&gt;" ",CONCATENATE(A812,B812)," ")</f>
        <v/>
      </c>
      <c r="D812" s="69" t="n"/>
      <c r="E812" s="72" t="n"/>
      <c r="F812" s="72" t="n"/>
      <c r="G812" s="72" t="n"/>
      <c r="H812" s="72" t="n"/>
      <c r="I812" s="72" t="n"/>
      <c r="J812" s="71" t="n"/>
      <c r="K812" s="73" t="n"/>
    </row>
    <row r="813">
      <c r="A813" s="62" t="inlineStr">
        <is>
          <t>P</t>
        </is>
      </c>
      <c r="B813" s="60">
        <f>IF(D813&gt;1/1/2001,B812+1," ")</f>
        <v/>
      </c>
      <c r="C813" s="59">
        <f>IF(B813&lt;&gt;" ",CONCATENATE(A813,B813)," ")</f>
        <v/>
      </c>
      <c r="D813" s="69" t="n"/>
      <c r="E813" s="72" t="n"/>
      <c r="F813" s="72" t="n"/>
      <c r="G813" s="72" t="n"/>
      <c r="H813" s="72" t="n"/>
      <c r="I813" s="72" t="n"/>
      <c r="J813" s="71" t="n"/>
      <c r="K813" s="73" t="n"/>
    </row>
    <row r="814">
      <c r="A814" s="62" t="inlineStr">
        <is>
          <t>P</t>
        </is>
      </c>
      <c r="B814" s="60">
        <f>IF(D814&gt;1/1/2001,B813+1," ")</f>
        <v/>
      </c>
      <c r="C814" s="59">
        <f>IF(B814&lt;&gt;" ",CONCATENATE(A814,B814)," ")</f>
        <v/>
      </c>
      <c r="D814" s="69" t="n"/>
      <c r="E814" s="72" t="n"/>
      <c r="F814" s="72" t="n"/>
      <c r="G814" s="72" t="n"/>
      <c r="H814" s="72" t="n"/>
      <c r="I814" s="72" t="n"/>
      <c r="J814" s="71" t="n"/>
      <c r="K814" s="73" t="n"/>
    </row>
    <row r="815">
      <c r="A815" s="62" t="inlineStr">
        <is>
          <t>P</t>
        </is>
      </c>
      <c r="B815" s="60">
        <f>IF(D815&gt;1/1/2001,B814+1," ")</f>
        <v/>
      </c>
      <c r="C815" s="59">
        <f>IF(B815&lt;&gt;" ",CONCATENATE(A815,B815)," ")</f>
        <v/>
      </c>
      <c r="D815" s="69" t="n"/>
      <c r="E815" s="72" t="n"/>
      <c r="F815" s="72" t="n"/>
      <c r="G815" s="72" t="n"/>
      <c r="H815" s="72" t="n"/>
      <c r="I815" s="72" t="n"/>
      <c r="J815" s="71" t="n"/>
      <c r="K815" s="73" t="n"/>
    </row>
    <row r="816">
      <c r="A816" s="62" t="inlineStr">
        <is>
          <t>P</t>
        </is>
      </c>
      <c r="B816" s="60">
        <f>IF(D816&gt;1/1/2001,B815+1," ")</f>
        <v/>
      </c>
      <c r="C816" s="59">
        <f>IF(B816&lt;&gt;" ",CONCATENATE(A816,B816)," ")</f>
        <v/>
      </c>
      <c r="D816" s="69" t="n"/>
      <c r="E816" s="72" t="n"/>
      <c r="F816" s="72" t="n"/>
      <c r="G816" s="72" t="n"/>
      <c r="H816" s="72" t="n"/>
      <c r="I816" s="72" t="n"/>
      <c r="J816" s="71" t="n"/>
      <c r="K816" s="73" t="n"/>
    </row>
    <row r="817">
      <c r="A817" s="62" t="inlineStr">
        <is>
          <t>P</t>
        </is>
      </c>
      <c r="B817" s="60">
        <f>IF(D817&gt;1/1/2001,B816+1," ")</f>
        <v/>
      </c>
      <c r="C817" s="59">
        <f>IF(B817&lt;&gt;" ",CONCATENATE(A817,B817)," ")</f>
        <v/>
      </c>
      <c r="D817" s="69" t="n"/>
      <c r="E817" s="72" t="n"/>
      <c r="F817" s="72" t="n"/>
      <c r="G817" s="72" t="n"/>
      <c r="H817" s="72" t="n"/>
      <c r="I817" s="72" t="n"/>
      <c r="J817" s="71" t="n"/>
      <c r="K817" s="73" t="n"/>
    </row>
    <row r="818">
      <c r="A818" s="62" t="inlineStr">
        <is>
          <t>P</t>
        </is>
      </c>
      <c r="B818" s="60">
        <f>IF(D818&gt;1/1/2001,B817+1," ")</f>
        <v/>
      </c>
      <c r="C818" s="59">
        <f>IF(B818&lt;&gt;" ",CONCATENATE(A818,B818)," ")</f>
        <v/>
      </c>
      <c r="D818" s="69" t="n"/>
      <c r="E818" s="72" t="n"/>
      <c r="F818" s="72" t="n"/>
      <c r="G818" s="72" t="n"/>
      <c r="H818" s="72" t="n"/>
      <c r="I818" s="72" t="n"/>
      <c r="J818" s="71" t="n"/>
      <c r="K818" s="73" t="n"/>
    </row>
    <row r="819">
      <c r="A819" s="62" t="inlineStr">
        <is>
          <t>P</t>
        </is>
      </c>
      <c r="B819" s="60">
        <f>IF(D819&gt;1/1/2001,B818+1," ")</f>
        <v/>
      </c>
      <c r="C819" s="59">
        <f>IF(B819&lt;&gt;" ",CONCATENATE(A819,B819)," ")</f>
        <v/>
      </c>
      <c r="D819" s="69" t="n"/>
      <c r="E819" s="72" t="n"/>
      <c r="F819" s="72" t="n"/>
      <c r="G819" s="72" t="n"/>
      <c r="H819" s="72" t="n"/>
      <c r="I819" s="72" t="n"/>
      <c r="J819" s="71" t="n"/>
      <c r="K819" s="73" t="n"/>
    </row>
    <row r="820">
      <c r="A820" s="62" t="inlineStr">
        <is>
          <t>P</t>
        </is>
      </c>
      <c r="B820" s="60">
        <f>IF(D820&gt;1/1/2001,B819+1," ")</f>
        <v/>
      </c>
      <c r="C820" s="59">
        <f>IF(B820&lt;&gt;" ",CONCATENATE(A820,B820)," ")</f>
        <v/>
      </c>
      <c r="D820" s="69" t="n"/>
      <c r="E820" s="72" t="n"/>
      <c r="F820" s="72" t="n"/>
      <c r="G820" s="72" t="n"/>
      <c r="H820" s="72" t="n"/>
      <c r="I820" s="72" t="n"/>
      <c r="J820" s="71" t="n"/>
      <c r="K820" s="73" t="n"/>
    </row>
    <row r="821">
      <c r="A821" s="62" t="inlineStr">
        <is>
          <t>P</t>
        </is>
      </c>
      <c r="B821" s="60">
        <f>IF(D821&gt;1/1/2001,B820+1," ")</f>
        <v/>
      </c>
      <c r="C821" s="59">
        <f>IF(B821&lt;&gt;" ",CONCATENATE(A821,B821)," ")</f>
        <v/>
      </c>
      <c r="D821" s="69" t="n"/>
      <c r="E821" s="72" t="n"/>
      <c r="F821" s="72" t="n"/>
      <c r="G821" s="72" t="n"/>
      <c r="H821" s="72" t="n"/>
      <c r="I821" s="72" t="n"/>
      <c r="J821" s="71" t="n"/>
      <c r="K821" s="73" t="n"/>
    </row>
    <row r="822">
      <c r="A822" s="62" t="inlineStr">
        <is>
          <t>P</t>
        </is>
      </c>
      <c r="B822" s="60">
        <f>IF(D822&gt;1/1/2001,B821+1," ")</f>
        <v/>
      </c>
      <c r="C822" s="59">
        <f>IF(B822&lt;&gt;" ",CONCATENATE(A822,B822)," ")</f>
        <v/>
      </c>
      <c r="D822" s="69" t="n"/>
      <c r="E822" s="72" t="n"/>
      <c r="F822" s="72" t="n"/>
      <c r="G822" s="72" t="n"/>
      <c r="H822" s="72" t="n"/>
      <c r="I822" s="72" t="n"/>
      <c r="J822" s="71" t="n"/>
      <c r="K822" s="73" t="n"/>
    </row>
    <row r="823">
      <c r="A823" s="62" t="inlineStr">
        <is>
          <t>P</t>
        </is>
      </c>
      <c r="B823" s="60">
        <f>IF(D823&gt;1/1/2001,B822+1," ")</f>
        <v/>
      </c>
      <c r="C823" s="59">
        <f>IF(B823&lt;&gt;" ",CONCATENATE(A823,B823)," ")</f>
        <v/>
      </c>
      <c r="D823" s="69" t="n"/>
      <c r="E823" s="72" t="n"/>
      <c r="F823" s="72" t="n"/>
      <c r="G823" s="72" t="n"/>
      <c r="H823" s="72" t="n"/>
      <c r="I823" s="72" t="n"/>
      <c r="J823" s="71" t="n"/>
      <c r="K823" s="73" t="n"/>
    </row>
    <row r="824">
      <c r="A824" s="62" t="inlineStr">
        <is>
          <t>P</t>
        </is>
      </c>
      <c r="B824" s="60">
        <f>IF(D824&gt;1/1/2001,B823+1," ")</f>
        <v/>
      </c>
      <c r="C824" s="59">
        <f>IF(B824&lt;&gt;" ",CONCATENATE(A824,B824)," ")</f>
        <v/>
      </c>
      <c r="D824" s="69" t="n"/>
      <c r="E824" s="72" t="n"/>
      <c r="F824" s="72" t="n"/>
      <c r="G824" s="72" t="n"/>
      <c r="H824" s="72" t="n"/>
      <c r="I824" s="72" t="n"/>
      <c r="J824" s="71" t="n"/>
      <c r="K824" s="73" t="n"/>
    </row>
    <row r="825">
      <c r="A825" s="62" t="inlineStr">
        <is>
          <t>P</t>
        </is>
      </c>
      <c r="B825" s="60">
        <f>IF(D825&gt;1/1/2001,B824+1," ")</f>
        <v/>
      </c>
      <c r="C825" s="59">
        <f>IF(B825&lt;&gt;" ",CONCATENATE(A825,B825)," ")</f>
        <v/>
      </c>
      <c r="D825" s="69" t="n"/>
      <c r="E825" s="72" t="n"/>
      <c r="F825" s="72" t="n"/>
      <c r="G825" s="72" t="n"/>
      <c r="H825" s="72" t="n"/>
      <c r="I825" s="72" t="n"/>
      <c r="J825" s="71" t="n"/>
      <c r="K825" s="73" t="n"/>
    </row>
    <row r="826">
      <c r="A826" s="62" t="inlineStr">
        <is>
          <t>P</t>
        </is>
      </c>
      <c r="B826" s="60">
        <f>IF(D826&gt;1/1/2001,B825+1," ")</f>
        <v/>
      </c>
      <c r="C826" s="59">
        <f>IF(B826&lt;&gt;" ",CONCATENATE(A826,B826)," ")</f>
        <v/>
      </c>
      <c r="D826" s="69" t="n"/>
      <c r="E826" s="72" t="n"/>
      <c r="F826" s="72" t="n"/>
      <c r="G826" s="72" t="n"/>
      <c r="H826" s="72" t="n"/>
      <c r="I826" s="72" t="n"/>
      <c r="J826" s="71" t="n"/>
      <c r="K826" s="73" t="n"/>
    </row>
    <row r="827">
      <c r="A827" s="62" t="inlineStr">
        <is>
          <t>P</t>
        </is>
      </c>
      <c r="B827" s="60">
        <f>IF(D827&gt;1/1/2001,B826+1," ")</f>
        <v/>
      </c>
      <c r="C827" s="59">
        <f>IF(B827&lt;&gt;" ",CONCATENATE(A827,B827)," ")</f>
        <v/>
      </c>
      <c r="D827" s="69" t="n"/>
      <c r="E827" s="72" t="n"/>
      <c r="F827" s="72" t="n"/>
      <c r="G827" s="72" t="n"/>
      <c r="H827" s="72" t="n"/>
      <c r="I827" s="72" t="n"/>
      <c r="J827" s="71" t="n"/>
      <c r="K827" s="73" t="n"/>
    </row>
    <row r="828">
      <c r="A828" s="62" t="inlineStr">
        <is>
          <t>P</t>
        </is>
      </c>
      <c r="B828" s="60">
        <f>IF(D828&gt;1/1/2001,B827+1," ")</f>
        <v/>
      </c>
      <c r="C828" s="59">
        <f>IF(B828&lt;&gt;" ",CONCATENATE(A828,B828)," ")</f>
        <v/>
      </c>
      <c r="D828" s="69" t="n"/>
      <c r="E828" s="72" t="n"/>
      <c r="F828" s="72" t="n"/>
      <c r="G828" s="72" t="n"/>
      <c r="H828" s="72" t="n"/>
      <c r="I828" s="72" t="n"/>
      <c r="J828" s="71" t="n"/>
      <c r="K828" s="73" t="n"/>
    </row>
    <row r="829">
      <c r="A829" s="62" t="inlineStr">
        <is>
          <t>P</t>
        </is>
      </c>
      <c r="B829" s="60">
        <f>IF(D829&gt;1/1/2001,B828+1," ")</f>
        <v/>
      </c>
      <c r="C829" s="59">
        <f>IF(B829&lt;&gt;" ",CONCATENATE(A829,B829)," ")</f>
        <v/>
      </c>
      <c r="D829" s="69" t="n"/>
      <c r="E829" s="72" t="n"/>
      <c r="F829" s="72" t="n"/>
      <c r="G829" s="72" t="n"/>
      <c r="H829" s="72" t="n"/>
      <c r="I829" s="72" t="n"/>
      <c r="J829" s="71" t="n"/>
      <c r="K829" s="73" t="n"/>
    </row>
    <row r="830">
      <c r="A830" s="62" t="inlineStr">
        <is>
          <t>P</t>
        </is>
      </c>
      <c r="B830" s="60">
        <f>IF(D830&gt;1/1/2001,B829+1," ")</f>
        <v/>
      </c>
      <c r="C830" s="59">
        <f>IF(B830&lt;&gt;" ",CONCATENATE(A830,B830)," ")</f>
        <v/>
      </c>
      <c r="D830" s="69" t="n"/>
      <c r="E830" s="72" t="n"/>
      <c r="F830" s="72" t="n"/>
      <c r="G830" s="72" t="n"/>
      <c r="H830" s="72" t="n"/>
      <c r="I830" s="72" t="n"/>
      <c r="J830" s="71" t="n"/>
      <c r="K830" s="73" t="n"/>
    </row>
    <row r="831">
      <c r="A831" s="62" t="inlineStr">
        <is>
          <t>P</t>
        </is>
      </c>
      <c r="B831" s="60">
        <f>IF(D831&gt;1/1/2001,B830+1," ")</f>
        <v/>
      </c>
      <c r="C831" s="59">
        <f>IF(B831&lt;&gt;" ",CONCATENATE(A831,B831)," ")</f>
        <v/>
      </c>
      <c r="D831" s="69" t="n"/>
      <c r="E831" s="72" t="n"/>
      <c r="F831" s="72" t="n"/>
      <c r="G831" s="72" t="n"/>
      <c r="H831" s="72" t="n"/>
      <c r="I831" s="72" t="n"/>
      <c r="J831" s="71" t="n"/>
      <c r="K831" s="73" t="n"/>
    </row>
    <row r="832">
      <c r="A832" s="62" t="inlineStr">
        <is>
          <t>P</t>
        </is>
      </c>
      <c r="B832" s="60">
        <f>IF(D832&gt;1/1/2001,B831+1," ")</f>
        <v/>
      </c>
      <c r="C832" s="59">
        <f>IF(B832&lt;&gt;" ",CONCATENATE(A832,B832)," ")</f>
        <v/>
      </c>
      <c r="D832" s="69" t="n"/>
      <c r="E832" s="72" t="n"/>
      <c r="F832" s="72" t="n"/>
      <c r="G832" s="72" t="n"/>
      <c r="H832" s="72" t="n"/>
      <c r="I832" s="72" t="n"/>
      <c r="J832" s="71" t="n"/>
      <c r="K832" s="73" t="n"/>
    </row>
    <row r="833">
      <c r="A833" s="62" t="inlineStr">
        <is>
          <t>P</t>
        </is>
      </c>
      <c r="B833" s="60">
        <f>IF(D833&gt;1/1/2001,B832+1," ")</f>
        <v/>
      </c>
      <c r="C833" s="59">
        <f>IF(B833&lt;&gt;" ",CONCATENATE(A833,B833)," ")</f>
        <v/>
      </c>
      <c r="D833" s="69" t="n"/>
      <c r="E833" s="72" t="n"/>
      <c r="F833" s="72" t="n"/>
      <c r="G833" s="72" t="n"/>
      <c r="H833" s="72" t="n"/>
      <c r="I833" s="72" t="n"/>
      <c r="J833" s="71" t="n"/>
      <c r="K833" s="73" t="n"/>
    </row>
    <row r="834">
      <c r="A834" s="62" t="inlineStr">
        <is>
          <t>P</t>
        </is>
      </c>
      <c r="B834" s="60">
        <f>IF(D834&gt;1/1/2001,B833+1," ")</f>
        <v/>
      </c>
      <c r="C834" s="59">
        <f>IF(B834&lt;&gt;" ",CONCATENATE(A834,B834)," ")</f>
        <v/>
      </c>
      <c r="D834" s="69" t="n"/>
      <c r="E834" s="72" t="n"/>
      <c r="F834" s="72" t="n"/>
      <c r="G834" s="72" t="n"/>
      <c r="H834" s="72" t="n"/>
      <c r="I834" s="72" t="n"/>
      <c r="J834" s="71" t="n"/>
      <c r="K834" s="73" t="n"/>
    </row>
    <row r="835">
      <c r="A835" s="62" t="inlineStr">
        <is>
          <t>P</t>
        </is>
      </c>
      <c r="B835" s="60">
        <f>IF(D835&gt;1/1/2001,B834+1," ")</f>
        <v/>
      </c>
      <c r="C835" s="59">
        <f>IF(B835&lt;&gt;" ",CONCATENATE(A835,B835)," ")</f>
        <v/>
      </c>
      <c r="D835" s="69" t="n"/>
      <c r="E835" s="72" t="n"/>
      <c r="F835" s="72" t="n"/>
      <c r="G835" s="72" t="n"/>
      <c r="H835" s="72" t="n"/>
      <c r="I835" s="72" t="n"/>
      <c r="J835" s="71" t="n"/>
      <c r="K835" s="73" t="n"/>
    </row>
    <row r="836">
      <c r="A836" s="62" t="inlineStr">
        <is>
          <t>P</t>
        </is>
      </c>
      <c r="B836" s="60">
        <f>IF(D836&gt;1/1/2001,B835+1," ")</f>
        <v/>
      </c>
      <c r="C836" s="59">
        <f>IF(B836&lt;&gt;" ",CONCATENATE(A836,B836)," ")</f>
        <v/>
      </c>
      <c r="D836" s="69" t="n"/>
      <c r="E836" s="72" t="n"/>
      <c r="F836" s="72" t="n"/>
      <c r="G836" s="72" t="n"/>
      <c r="H836" s="72" t="n"/>
      <c r="I836" s="72" t="n"/>
      <c r="J836" s="71" t="n"/>
      <c r="K836" s="73" t="n"/>
    </row>
    <row r="837">
      <c r="A837" s="62" t="inlineStr">
        <is>
          <t>P</t>
        </is>
      </c>
      <c r="B837" s="60">
        <f>IF(D837&gt;1/1/2001,B836+1," ")</f>
        <v/>
      </c>
      <c r="C837" s="59">
        <f>IF(B837&lt;&gt;" ",CONCATENATE(A837,B837)," ")</f>
        <v/>
      </c>
      <c r="D837" s="69" t="n"/>
      <c r="E837" s="72" t="n"/>
      <c r="F837" s="72" t="n"/>
      <c r="G837" s="72" t="n"/>
      <c r="H837" s="72" t="n"/>
      <c r="I837" s="72" t="n"/>
      <c r="J837" s="71" t="n"/>
      <c r="K837" s="73" t="n"/>
    </row>
    <row r="838">
      <c r="A838" s="62" t="inlineStr">
        <is>
          <t>P</t>
        </is>
      </c>
      <c r="B838" s="60">
        <f>IF(D838&gt;1/1/2001,B837+1," ")</f>
        <v/>
      </c>
      <c r="C838" s="59">
        <f>IF(B838&lt;&gt;" ",CONCATENATE(A838,B838)," ")</f>
        <v/>
      </c>
      <c r="D838" s="69" t="n"/>
      <c r="E838" s="72" t="n"/>
      <c r="F838" s="72" t="n"/>
      <c r="G838" s="72" t="n"/>
      <c r="H838" s="72" t="n"/>
      <c r="I838" s="72" t="n"/>
      <c r="J838" s="71" t="n"/>
      <c r="K838" s="73" t="n"/>
    </row>
    <row r="839">
      <c r="A839" s="62" t="inlineStr">
        <is>
          <t>P</t>
        </is>
      </c>
      <c r="B839" s="60">
        <f>IF(D839&gt;1/1/2001,B838+1," ")</f>
        <v/>
      </c>
      <c r="C839" s="59">
        <f>IF(B839&lt;&gt;" ",CONCATENATE(A839,B839)," ")</f>
        <v/>
      </c>
      <c r="D839" s="69" t="n"/>
      <c r="E839" s="72" t="n"/>
      <c r="F839" s="72" t="n"/>
      <c r="G839" s="72" t="n"/>
      <c r="H839" s="72" t="n"/>
      <c r="I839" s="72" t="n"/>
      <c r="J839" s="71" t="n"/>
      <c r="K839" s="73" t="n"/>
    </row>
    <row r="840">
      <c r="A840" s="62" t="inlineStr">
        <is>
          <t>P</t>
        </is>
      </c>
      <c r="B840" s="60">
        <f>IF(D840&gt;1/1/2001,B839+1," ")</f>
        <v/>
      </c>
      <c r="C840" s="59">
        <f>IF(B840&lt;&gt;" ",CONCATENATE(A840,B840)," ")</f>
        <v/>
      </c>
      <c r="D840" s="69" t="n"/>
      <c r="E840" s="72" t="n"/>
      <c r="F840" s="72" t="n"/>
      <c r="G840" s="72" t="n"/>
      <c r="H840" s="72" t="n"/>
      <c r="I840" s="72" t="n"/>
      <c r="J840" s="71" t="n"/>
      <c r="K840" s="73" t="n"/>
    </row>
    <row r="841">
      <c r="A841" s="62" t="inlineStr">
        <is>
          <t>P</t>
        </is>
      </c>
      <c r="B841" s="60">
        <f>IF(D841&gt;1/1/2001,B840+1," ")</f>
        <v/>
      </c>
      <c r="C841" s="59">
        <f>IF(B841&lt;&gt;" ",CONCATENATE(A841,B841)," ")</f>
        <v/>
      </c>
      <c r="D841" s="69" t="n"/>
      <c r="E841" s="72" t="n"/>
      <c r="F841" s="72" t="n"/>
      <c r="G841" s="72" t="n"/>
      <c r="H841" s="72" t="n"/>
      <c r="I841" s="72" t="n"/>
      <c r="J841" s="71" t="n"/>
      <c r="K841" s="73" t="n"/>
    </row>
    <row r="842">
      <c r="A842" s="62" t="inlineStr">
        <is>
          <t>P</t>
        </is>
      </c>
      <c r="B842" s="60">
        <f>IF(D842&gt;1/1/2001,B841+1," ")</f>
        <v/>
      </c>
      <c r="C842" s="59">
        <f>IF(B842&lt;&gt;" ",CONCATENATE(A842,B842)," ")</f>
        <v/>
      </c>
      <c r="D842" s="69" t="n"/>
      <c r="E842" s="72" t="n"/>
      <c r="F842" s="72" t="n"/>
      <c r="G842" s="72" t="n"/>
      <c r="H842" s="72" t="n"/>
      <c r="I842" s="72" t="n"/>
      <c r="J842" s="71" t="n"/>
      <c r="K842" s="73" t="n"/>
    </row>
    <row r="843">
      <c r="A843" s="62" t="inlineStr">
        <is>
          <t>P</t>
        </is>
      </c>
      <c r="B843" s="60">
        <f>IF(D843&gt;1/1/2001,B842+1," ")</f>
        <v/>
      </c>
      <c r="C843" s="59">
        <f>IF(B843&lt;&gt;" ",CONCATENATE(A843,B843)," ")</f>
        <v/>
      </c>
      <c r="D843" s="69" t="n"/>
      <c r="E843" s="72" t="n"/>
      <c r="F843" s="72" t="n"/>
      <c r="G843" s="72" t="n"/>
      <c r="H843" s="72" t="n"/>
      <c r="I843" s="72" t="n"/>
      <c r="J843" s="71" t="n"/>
      <c r="K843" s="73" t="n"/>
    </row>
    <row r="844">
      <c r="A844" s="62" t="inlineStr">
        <is>
          <t>P</t>
        </is>
      </c>
      <c r="B844" s="60">
        <f>IF(D844&gt;1/1/2001,B843+1," ")</f>
        <v/>
      </c>
      <c r="C844" s="59">
        <f>IF(B844&lt;&gt;" ",CONCATENATE(A844,B844)," ")</f>
        <v/>
      </c>
      <c r="D844" s="69" t="n"/>
      <c r="E844" s="72" t="n"/>
      <c r="F844" s="72" t="n"/>
      <c r="G844" s="72" t="n"/>
      <c r="H844" s="72" t="n"/>
      <c r="I844" s="72" t="n"/>
      <c r="J844" s="71" t="n"/>
      <c r="K844" s="73" t="n"/>
    </row>
    <row r="845">
      <c r="A845" s="62" t="inlineStr">
        <is>
          <t>P</t>
        </is>
      </c>
      <c r="B845" s="60">
        <f>IF(D845&gt;1/1/2001,B844+1," ")</f>
        <v/>
      </c>
      <c r="C845" s="59">
        <f>IF(B845&lt;&gt;" ",CONCATENATE(A845,B845)," ")</f>
        <v/>
      </c>
      <c r="D845" s="69" t="n"/>
      <c r="E845" s="72" t="n"/>
      <c r="F845" s="72" t="n"/>
      <c r="G845" s="72" t="n"/>
      <c r="H845" s="72" t="n"/>
      <c r="I845" s="72" t="n"/>
      <c r="J845" s="71" t="n"/>
      <c r="K845" s="73" t="n"/>
    </row>
    <row r="846">
      <c r="A846" s="62" t="inlineStr">
        <is>
          <t>P</t>
        </is>
      </c>
      <c r="B846" s="60">
        <f>IF(D846&gt;1/1/2001,B845+1," ")</f>
        <v/>
      </c>
      <c r="C846" s="59">
        <f>IF(B846&lt;&gt;" ",CONCATENATE(A846,B846)," ")</f>
        <v/>
      </c>
      <c r="D846" s="69" t="n"/>
      <c r="E846" s="72" t="n"/>
      <c r="F846" s="72" t="n"/>
      <c r="G846" s="72" t="n"/>
      <c r="H846" s="72" t="n"/>
      <c r="I846" s="72" t="n"/>
      <c r="J846" s="71" t="n"/>
      <c r="K846" s="73" t="n"/>
    </row>
    <row r="847">
      <c r="A847" s="62" t="inlineStr">
        <is>
          <t>P</t>
        </is>
      </c>
      <c r="B847" s="60">
        <f>IF(D847&gt;1/1/2001,B846+1," ")</f>
        <v/>
      </c>
      <c r="C847" s="59">
        <f>IF(B847&lt;&gt;" ",CONCATENATE(A847,B847)," ")</f>
        <v/>
      </c>
      <c r="D847" s="69" t="n"/>
      <c r="E847" s="72" t="n"/>
      <c r="F847" s="72" t="n"/>
      <c r="G847" s="72" t="n"/>
      <c r="H847" s="72" t="n"/>
      <c r="I847" s="72" t="n"/>
      <c r="J847" s="71" t="n"/>
      <c r="K847" s="73" t="n"/>
    </row>
    <row r="848">
      <c r="A848" s="62" t="inlineStr">
        <is>
          <t>P</t>
        </is>
      </c>
      <c r="B848" s="60">
        <f>IF(D848&gt;1/1/2001,B847+1," ")</f>
        <v/>
      </c>
      <c r="C848" s="59">
        <f>IF(B848&lt;&gt;" ",CONCATENATE(A848,B848)," ")</f>
        <v/>
      </c>
      <c r="D848" s="69" t="n"/>
      <c r="E848" s="72" t="n"/>
      <c r="F848" s="72" t="n"/>
      <c r="G848" s="72" t="n"/>
      <c r="H848" s="72" t="n"/>
      <c r="I848" s="72" t="n"/>
      <c r="J848" s="71" t="n"/>
      <c r="K848" s="73" t="n"/>
    </row>
    <row r="849">
      <c r="A849" s="62" t="inlineStr">
        <is>
          <t>P</t>
        </is>
      </c>
      <c r="B849" s="60">
        <f>IF(D849&gt;1/1/2001,B848+1," ")</f>
        <v/>
      </c>
      <c r="C849" s="59">
        <f>IF(B849&lt;&gt;" ",CONCATENATE(A849,B849)," ")</f>
        <v/>
      </c>
      <c r="D849" s="69" t="n"/>
      <c r="E849" s="72" t="n"/>
      <c r="F849" s="72" t="n"/>
      <c r="G849" s="72" t="n"/>
      <c r="H849" s="72" t="n"/>
      <c r="I849" s="72" t="n"/>
      <c r="J849" s="71" t="n"/>
      <c r="K849" s="73" t="n"/>
    </row>
    <row r="850">
      <c r="A850" s="62" t="inlineStr">
        <is>
          <t>P</t>
        </is>
      </c>
      <c r="B850" s="60">
        <f>IF(D850&gt;1/1/2001,B849+1," ")</f>
        <v/>
      </c>
      <c r="C850" s="59">
        <f>IF(B850&lt;&gt;" ",CONCATENATE(A850,B850)," ")</f>
        <v/>
      </c>
      <c r="D850" s="69" t="n"/>
      <c r="E850" s="72" t="n"/>
      <c r="F850" s="72" t="n"/>
      <c r="G850" s="72" t="n"/>
      <c r="H850" s="72" t="n"/>
      <c r="I850" s="72" t="n"/>
      <c r="J850" s="71" t="n"/>
      <c r="K850" s="73" t="n"/>
    </row>
    <row r="851">
      <c r="A851" s="62" t="inlineStr">
        <is>
          <t>P</t>
        </is>
      </c>
      <c r="B851" s="60">
        <f>IF(D851&gt;1/1/2001,B850+1," ")</f>
        <v/>
      </c>
      <c r="C851" s="59">
        <f>IF(B851&lt;&gt;" ",CONCATENATE(A851,B851)," ")</f>
        <v/>
      </c>
      <c r="D851" s="69" t="n"/>
      <c r="E851" s="72" t="n"/>
      <c r="F851" s="72" t="n"/>
      <c r="G851" s="72" t="n"/>
      <c r="H851" s="72" t="n"/>
      <c r="I851" s="72" t="n"/>
      <c r="J851" s="71" t="n"/>
      <c r="K851" s="73" t="n"/>
    </row>
    <row r="852">
      <c r="A852" s="62" t="inlineStr">
        <is>
          <t>P</t>
        </is>
      </c>
      <c r="B852" s="60">
        <f>IF(D852&gt;1/1/2001,B851+1," ")</f>
        <v/>
      </c>
      <c r="C852" s="59">
        <f>IF(B852&lt;&gt;" ",CONCATENATE(A852,B852)," ")</f>
        <v/>
      </c>
      <c r="D852" s="69" t="n"/>
      <c r="E852" s="72" t="n"/>
      <c r="F852" s="72" t="n"/>
      <c r="G852" s="72" t="n"/>
      <c r="H852" s="72" t="n"/>
      <c r="I852" s="72" t="n"/>
      <c r="J852" s="71" t="n"/>
      <c r="K852" s="73" t="n"/>
    </row>
    <row r="853">
      <c r="A853" s="62" t="inlineStr">
        <is>
          <t>P</t>
        </is>
      </c>
      <c r="B853" s="60">
        <f>IF(D853&gt;1/1/2001,B852+1," ")</f>
        <v/>
      </c>
      <c r="C853" s="59">
        <f>IF(B853&lt;&gt;" ",CONCATENATE(A853,B853)," ")</f>
        <v/>
      </c>
      <c r="D853" s="69" t="n"/>
      <c r="E853" s="72" t="n"/>
      <c r="F853" s="72" t="n"/>
      <c r="G853" s="72" t="n"/>
      <c r="H853" s="72" t="n"/>
      <c r="I853" s="72" t="n"/>
      <c r="J853" s="71" t="n"/>
      <c r="K853" s="73" t="n"/>
    </row>
    <row r="854">
      <c r="A854" s="62" t="inlineStr">
        <is>
          <t>P</t>
        </is>
      </c>
      <c r="B854" s="60">
        <f>IF(D854&gt;1/1/2001,B853+1," ")</f>
        <v/>
      </c>
      <c r="C854" s="59">
        <f>IF(B854&lt;&gt;" ",CONCATENATE(A854,B854)," ")</f>
        <v/>
      </c>
      <c r="D854" s="69" t="n"/>
      <c r="E854" s="72" t="n"/>
      <c r="F854" s="72" t="n"/>
      <c r="G854" s="72" t="n"/>
      <c r="H854" s="72" t="n"/>
      <c r="I854" s="72" t="n"/>
      <c r="J854" s="71" t="n"/>
      <c r="K854" s="73" t="n"/>
    </row>
    <row r="855">
      <c r="A855" s="62" t="inlineStr">
        <is>
          <t>P</t>
        </is>
      </c>
      <c r="B855" s="60">
        <f>IF(D855&gt;1/1/2001,B854+1," ")</f>
        <v/>
      </c>
      <c r="C855" s="59">
        <f>IF(B855&lt;&gt;" ",CONCATENATE(A855,B855)," ")</f>
        <v/>
      </c>
      <c r="D855" s="69" t="n"/>
      <c r="E855" s="72" t="n"/>
      <c r="F855" s="72" t="n"/>
      <c r="G855" s="72" t="n"/>
      <c r="H855" s="72" t="n"/>
      <c r="I855" s="72" t="n"/>
      <c r="J855" s="71" t="n"/>
      <c r="K855" s="73" t="n"/>
    </row>
    <row r="856">
      <c r="A856" s="62" t="inlineStr">
        <is>
          <t>P</t>
        </is>
      </c>
      <c r="B856" s="60">
        <f>IF(D856&gt;1/1/2001,B855+1," ")</f>
        <v/>
      </c>
      <c r="C856" s="59">
        <f>IF(B856&lt;&gt;" ",CONCATENATE(A856,B856)," ")</f>
        <v/>
      </c>
      <c r="D856" s="69" t="n"/>
      <c r="E856" s="72" t="n"/>
      <c r="F856" s="72" t="n"/>
      <c r="G856" s="72" t="n"/>
      <c r="H856" s="72" t="n"/>
      <c r="I856" s="72" t="n"/>
      <c r="J856" s="71" t="n"/>
      <c r="K856" s="73" t="n"/>
    </row>
    <row r="857">
      <c r="A857" s="62" t="inlineStr">
        <is>
          <t>P</t>
        </is>
      </c>
      <c r="B857" s="60">
        <f>IF(D857&gt;1/1/2001,B856+1," ")</f>
        <v/>
      </c>
      <c r="C857" s="59">
        <f>IF(B857&lt;&gt;" ",CONCATENATE(A857,B857)," ")</f>
        <v/>
      </c>
      <c r="D857" s="69" t="n"/>
      <c r="E857" s="72" t="n"/>
      <c r="F857" s="72" t="n"/>
      <c r="G857" s="72" t="n"/>
      <c r="H857" s="72" t="n"/>
      <c r="I857" s="72" t="n"/>
      <c r="J857" s="71" t="n"/>
      <c r="K857" s="73" t="n"/>
    </row>
    <row r="858">
      <c r="A858" s="62" t="inlineStr">
        <is>
          <t>P</t>
        </is>
      </c>
      <c r="B858" s="60">
        <f>IF(D858&gt;1/1/2001,B857+1," ")</f>
        <v/>
      </c>
      <c r="C858" s="59">
        <f>IF(B858&lt;&gt;" ",CONCATENATE(A858,B858)," ")</f>
        <v/>
      </c>
      <c r="D858" s="69" t="n"/>
      <c r="E858" s="72" t="n"/>
      <c r="F858" s="72" t="n"/>
      <c r="G858" s="72" t="n"/>
      <c r="H858" s="72" t="n"/>
      <c r="I858" s="72" t="n"/>
      <c r="J858" s="71" t="n"/>
      <c r="K858" s="73" t="n"/>
    </row>
    <row r="859">
      <c r="A859" s="62" t="inlineStr">
        <is>
          <t>P</t>
        </is>
      </c>
      <c r="B859" s="60">
        <f>IF(D859&gt;1/1/2001,B858+1," ")</f>
        <v/>
      </c>
      <c r="C859" s="59">
        <f>IF(B859&lt;&gt;" ",CONCATENATE(A859,B859)," ")</f>
        <v/>
      </c>
      <c r="D859" s="69" t="n"/>
      <c r="E859" s="72" t="n"/>
      <c r="F859" s="72" t="n"/>
      <c r="G859" s="72" t="n"/>
      <c r="H859" s="72" t="n"/>
      <c r="I859" s="72" t="n"/>
      <c r="J859" s="71" t="n"/>
      <c r="K859" s="73" t="n"/>
    </row>
    <row r="860">
      <c r="A860" s="62" t="inlineStr">
        <is>
          <t>P</t>
        </is>
      </c>
      <c r="B860" s="60">
        <f>IF(D860&gt;1/1/2001,B859+1," ")</f>
        <v/>
      </c>
      <c r="C860" s="59">
        <f>IF(B860&lt;&gt;" ",CONCATENATE(A860,B860)," ")</f>
        <v/>
      </c>
      <c r="D860" s="69" t="n"/>
      <c r="E860" s="72" t="n"/>
      <c r="F860" s="72" t="n"/>
      <c r="G860" s="72" t="n"/>
      <c r="H860" s="72" t="n"/>
      <c r="I860" s="72" t="n"/>
      <c r="J860" s="71" t="n"/>
      <c r="K860" s="73" t="n"/>
    </row>
    <row r="861">
      <c r="A861" s="62" t="inlineStr">
        <is>
          <t>P</t>
        </is>
      </c>
      <c r="B861" s="60">
        <f>IF(D861&gt;1/1/2001,B860+1," ")</f>
        <v/>
      </c>
      <c r="C861" s="59">
        <f>IF(B861&lt;&gt;" ",CONCATENATE(A861,B861)," ")</f>
        <v/>
      </c>
      <c r="D861" s="69" t="n"/>
      <c r="E861" s="72" t="n"/>
      <c r="F861" s="72" t="n"/>
      <c r="G861" s="72" t="n"/>
      <c r="H861" s="72" t="n"/>
      <c r="I861" s="72" t="n"/>
      <c r="J861" s="71" t="n"/>
      <c r="K861" s="73" t="n"/>
    </row>
    <row r="862">
      <c r="A862" s="62" t="inlineStr">
        <is>
          <t>P</t>
        </is>
      </c>
      <c r="B862" s="60">
        <f>IF(D862&gt;1/1/2001,B861+1," ")</f>
        <v/>
      </c>
      <c r="C862" s="59">
        <f>IF(B862&lt;&gt;" ",CONCATENATE(A862,B862)," ")</f>
        <v/>
      </c>
      <c r="D862" s="69" t="n"/>
      <c r="E862" s="72" t="n"/>
      <c r="F862" s="72" t="n"/>
      <c r="G862" s="72" t="n"/>
      <c r="H862" s="72" t="n"/>
      <c r="I862" s="72" t="n"/>
      <c r="J862" s="71" t="n"/>
      <c r="K862" s="73" t="n"/>
    </row>
    <row r="863">
      <c r="A863" s="62" t="inlineStr">
        <is>
          <t>P</t>
        </is>
      </c>
      <c r="B863" s="60">
        <f>IF(D863&gt;1/1/2001,B862+1," ")</f>
        <v/>
      </c>
      <c r="C863" s="59">
        <f>IF(B863&lt;&gt;" ",CONCATENATE(A863,B863)," ")</f>
        <v/>
      </c>
      <c r="D863" s="69" t="n"/>
      <c r="E863" s="72" t="n"/>
      <c r="F863" s="72" t="n"/>
      <c r="G863" s="72" t="n"/>
      <c r="H863" s="72" t="n"/>
      <c r="I863" s="72" t="n"/>
      <c r="J863" s="71" t="n"/>
      <c r="K863" s="73" t="n"/>
    </row>
    <row r="864">
      <c r="A864" s="62" t="inlineStr">
        <is>
          <t>P</t>
        </is>
      </c>
      <c r="B864" s="60">
        <f>IF(D864&gt;1/1/2001,B863+1," ")</f>
        <v/>
      </c>
      <c r="C864" s="59">
        <f>IF(B864&lt;&gt;" ",CONCATENATE(A864,B864)," ")</f>
        <v/>
      </c>
      <c r="D864" s="69" t="n"/>
      <c r="E864" s="72" t="n"/>
      <c r="F864" s="72" t="n"/>
      <c r="G864" s="72" t="n"/>
      <c r="H864" s="72" t="n"/>
      <c r="I864" s="72" t="n"/>
      <c r="J864" s="71" t="n"/>
      <c r="K864" s="73" t="n"/>
    </row>
    <row r="865">
      <c r="A865" s="62" t="inlineStr">
        <is>
          <t>P</t>
        </is>
      </c>
      <c r="B865" s="60">
        <f>IF(D865&gt;1/1/2001,B864+1," ")</f>
        <v/>
      </c>
      <c r="C865" s="59">
        <f>IF(B865&lt;&gt;" ",CONCATENATE(A865,B865)," ")</f>
        <v/>
      </c>
      <c r="D865" s="69" t="n"/>
      <c r="E865" s="72" t="n"/>
      <c r="F865" s="72" t="n"/>
      <c r="G865" s="72" t="n"/>
      <c r="H865" s="72" t="n"/>
      <c r="I865" s="72" t="n"/>
      <c r="J865" s="71" t="n"/>
      <c r="K865" s="73" t="n"/>
    </row>
    <row r="866">
      <c r="A866" s="62" t="inlineStr">
        <is>
          <t>P</t>
        </is>
      </c>
      <c r="B866" s="60">
        <f>IF(D866&gt;1/1/2001,B865+1," ")</f>
        <v/>
      </c>
      <c r="C866" s="59">
        <f>IF(B866&lt;&gt;" ",CONCATENATE(A866,B866)," ")</f>
        <v/>
      </c>
      <c r="D866" s="69" t="n"/>
      <c r="E866" s="72" t="n"/>
      <c r="F866" s="72" t="n"/>
      <c r="G866" s="72" t="n"/>
      <c r="H866" s="72" t="n"/>
      <c r="I866" s="72" t="n"/>
      <c r="J866" s="71" t="n"/>
      <c r="K866" s="73" t="n"/>
    </row>
    <row r="867">
      <c r="A867" s="62" t="inlineStr">
        <is>
          <t>P</t>
        </is>
      </c>
      <c r="B867" s="60">
        <f>IF(D867&gt;1/1/2001,B866+1," ")</f>
        <v/>
      </c>
      <c r="C867" s="59">
        <f>IF(B867&lt;&gt;" ",CONCATENATE(A867,B867)," ")</f>
        <v/>
      </c>
      <c r="D867" s="69" t="n"/>
      <c r="E867" s="72" t="n"/>
      <c r="F867" s="72" t="n"/>
      <c r="G867" s="72" t="n"/>
      <c r="H867" s="72" t="n"/>
      <c r="I867" s="72" t="n"/>
      <c r="J867" s="71" t="n"/>
      <c r="K867" s="73" t="n"/>
    </row>
    <row r="868">
      <c r="A868" s="62" t="inlineStr">
        <is>
          <t>P</t>
        </is>
      </c>
      <c r="B868" s="60">
        <f>IF(D868&gt;1/1/2001,B867+1," ")</f>
        <v/>
      </c>
      <c r="C868" s="59">
        <f>IF(B868&lt;&gt;" ",CONCATENATE(A868,B868)," ")</f>
        <v/>
      </c>
      <c r="D868" s="69" t="n"/>
      <c r="E868" s="72" t="n"/>
      <c r="F868" s="72" t="n"/>
      <c r="G868" s="72" t="n"/>
      <c r="H868" s="72" t="n"/>
      <c r="I868" s="72" t="n"/>
      <c r="J868" s="71" t="n"/>
      <c r="K868" s="73" t="n"/>
    </row>
    <row r="869">
      <c r="A869" s="62" t="inlineStr">
        <is>
          <t>P</t>
        </is>
      </c>
      <c r="B869" s="60">
        <f>IF(D869&gt;1/1/2001,B868+1," ")</f>
        <v/>
      </c>
      <c r="C869" s="59">
        <f>IF(B869&lt;&gt;" ",CONCATENATE(A869,B869)," ")</f>
        <v/>
      </c>
      <c r="D869" s="69" t="n"/>
      <c r="E869" s="72" t="n"/>
      <c r="F869" s="72" t="n"/>
      <c r="G869" s="72" t="n"/>
      <c r="H869" s="72" t="n"/>
      <c r="I869" s="72" t="n"/>
      <c r="J869" s="71" t="n"/>
      <c r="K869" s="73" t="n"/>
    </row>
    <row r="870">
      <c r="A870" s="62" t="inlineStr">
        <is>
          <t>P</t>
        </is>
      </c>
      <c r="B870" s="60">
        <f>IF(D870&gt;1/1/2001,B869+1," ")</f>
        <v/>
      </c>
      <c r="C870" s="59">
        <f>IF(B870&lt;&gt;" ",CONCATENATE(A870,B870)," ")</f>
        <v/>
      </c>
      <c r="D870" s="69" t="n"/>
      <c r="E870" s="72" t="n"/>
      <c r="F870" s="72" t="n"/>
      <c r="G870" s="72" t="n"/>
      <c r="H870" s="72" t="n"/>
      <c r="I870" s="72" t="n"/>
      <c r="J870" s="71" t="n"/>
      <c r="K870" s="73" t="n"/>
    </row>
    <row r="871">
      <c r="A871" s="62" t="inlineStr">
        <is>
          <t>P</t>
        </is>
      </c>
      <c r="B871" s="60">
        <f>IF(D871&gt;1/1/2001,B870+1," ")</f>
        <v/>
      </c>
      <c r="C871" s="59">
        <f>IF(B871&lt;&gt;" ",CONCATENATE(A871,B871)," ")</f>
        <v/>
      </c>
      <c r="D871" s="69" t="n"/>
      <c r="E871" s="72" t="n"/>
      <c r="F871" s="72" t="n"/>
      <c r="G871" s="72" t="n"/>
      <c r="H871" s="72" t="n"/>
      <c r="I871" s="72" t="n"/>
      <c r="J871" s="71" t="n"/>
      <c r="K871" s="73" t="n"/>
    </row>
    <row r="872">
      <c r="A872" s="62" t="inlineStr">
        <is>
          <t>P</t>
        </is>
      </c>
      <c r="B872" s="60">
        <f>IF(D872&gt;1/1/2001,B871+1," ")</f>
        <v/>
      </c>
      <c r="C872" s="59">
        <f>IF(B872&lt;&gt;" ",CONCATENATE(A872,B872)," ")</f>
        <v/>
      </c>
      <c r="D872" s="69" t="n"/>
      <c r="E872" s="72" t="n"/>
      <c r="F872" s="72" t="n"/>
      <c r="G872" s="72" t="n"/>
      <c r="H872" s="72" t="n"/>
      <c r="I872" s="72" t="n"/>
      <c r="J872" s="71" t="n"/>
      <c r="K872" s="73" t="n"/>
    </row>
    <row r="873">
      <c r="A873" s="62" t="inlineStr">
        <is>
          <t>P</t>
        </is>
      </c>
      <c r="B873" s="60">
        <f>IF(D873&gt;1/1/2001,B872+1," ")</f>
        <v/>
      </c>
      <c r="C873" s="59">
        <f>IF(B873&lt;&gt;" ",CONCATENATE(A873,B873)," ")</f>
        <v/>
      </c>
      <c r="D873" s="69" t="n"/>
      <c r="E873" s="72" t="n"/>
      <c r="F873" s="72" t="n"/>
      <c r="G873" s="72" t="n"/>
      <c r="H873" s="72" t="n"/>
      <c r="I873" s="72" t="n"/>
      <c r="J873" s="71" t="n"/>
      <c r="K873" s="73" t="n"/>
    </row>
    <row r="874">
      <c r="A874" s="62" t="inlineStr">
        <is>
          <t>P</t>
        </is>
      </c>
      <c r="B874" s="60">
        <f>IF(D874&gt;1/1/2001,B873+1," ")</f>
        <v/>
      </c>
      <c r="C874" s="59">
        <f>IF(B874&lt;&gt;" ",CONCATENATE(A874,B874)," ")</f>
        <v/>
      </c>
      <c r="D874" s="69" t="n"/>
      <c r="E874" s="72" t="n"/>
      <c r="F874" s="72" t="n"/>
      <c r="G874" s="72" t="n"/>
      <c r="H874" s="72" t="n"/>
      <c r="I874" s="72" t="n"/>
      <c r="J874" s="71" t="n"/>
      <c r="K874" s="73" t="n"/>
    </row>
    <row r="875">
      <c r="A875" s="62" t="inlineStr">
        <is>
          <t>P</t>
        </is>
      </c>
      <c r="B875" s="60">
        <f>IF(D875&gt;1/1/2001,B874+1," ")</f>
        <v/>
      </c>
      <c r="C875" s="59">
        <f>IF(B875&lt;&gt;" ",CONCATENATE(A875,B875)," ")</f>
        <v/>
      </c>
      <c r="D875" s="69" t="n"/>
      <c r="E875" s="72" t="n"/>
      <c r="F875" s="72" t="n"/>
      <c r="G875" s="72" t="n"/>
      <c r="H875" s="72" t="n"/>
      <c r="I875" s="72" t="n"/>
      <c r="J875" s="71" t="n"/>
      <c r="K875" s="73" t="n"/>
    </row>
    <row r="876">
      <c r="A876" s="62" t="inlineStr">
        <is>
          <t>P</t>
        </is>
      </c>
      <c r="B876" s="60">
        <f>IF(D876&gt;1/1/2001,B875+1," ")</f>
        <v/>
      </c>
      <c r="C876" s="59">
        <f>IF(B876&lt;&gt;" ",CONCATENATE(A876,B876)," ")</f>
        <v/>
      </c>
      <c r="D876" s="69" t="n"/>
      <c r="E876" s="72" t="n"/>
      <c r="F876" s="72" t="n"/>
      <c r="G876" s="72" t="n"/>
      <c r="H876" s="72" t="n"/>
      <c r="I876" s="72" t="n"/>
      <c r="J876" s="71" t="n"/>
      <c r="K876" s="73" t="n"/>
    </row>
    <row r="877">
      <c r="A877" s="62" t="inlineStr">
        <is>
          <t>P</t>
        </is>
      </c>
      <c r="B877" s="60">
        <f>IF(D877&gt;1/1/2001,B876+1," ")</f>
        <v/>
      </c>
      <c r="C877" s="59">
        <f>IF(B877&lt;&gt;" ",CONCATENATE(A877,B877)," ")</f>
        <v/>
      </c>
      <c r="D877" s="69" t="n"/>
      <c r="E877" s="72" t="n"/>
      <c r="F877" s="72" t="n"/>
      <c r="G877" s="72" t="n"/>
      <c r="H877" s="72" t="n"/>
      <c r="I877" s="72" t="n"/>
      <c r="J877" s="71" t="n"/>
      <c r="K877" s="73" t="n"/>
    </row>
    <row r="878">
      <c r="A878" s="62" t="inlineStr">
        <is>
          <t>P</t>
        </is>
      </c>
      <c r="B878" s="60">
        <f>IF(D878&gt;1/1/2001,B877+1," ")</f>
        <v/>
      </c>
      <c r="C878" s="59">
        <f>IF(B878&lt;&gt;" ",CONCATENATE(A878,B878)," ")</f>
        <v/>
      </c>
      <c r="D878" s="69" t="n"/>
      <c r="E878" s="72" t="n"/>
      <c r="F878" s="72" t="n"/>
      <c r="G878" s="72" t="n"/>
      <c r="H878" s="72" t="n"/>
      <c r="I878" s="72" t="n"/>
      <c r="J878" s="71" t="n"/>
      <c r="K878" s="73" t="n"/>
    </row>
    <row r="879">
      <c r="A879" s="62" t="inlineStr">
        <is>
          <t>P</t>
        </is>
      </c>
      <c r="B879" s="60">
        <f>IF(D879&gt;1/1/2001,B878+1," ")</f>
        <v/>
      </c>
      <c r="C879" s="59">
        <f>IF(B879&lt;&gt;" ",CONCATENATE(A879,B879)," ")</f>
        <v/>
      </c>
      <c r="D879" s="69" t="n"/>
      <c r="E879" s="72" t="n"/>
      <c r="F879" s="72" t="n"/>
      <c r="G879" s="72" t="n"/>
      <c r="H879" s="72" t="n"/>
      <c r="I879" s="72" t="n"/>
      <c r="J879" s="71" t="n"/>
      <c r="K879" s="73" t="n"/>
    </row>
    <row r="880">
      <c r="A880" s="62" t="inlineStr">
        <is>
          <t>P</t>
        </is>
      </c>
      <c r="B880" s="60">
        <f>IF(D880&gt;1/1/2001,B879+1," ")</f>
        <v/>
      </c>
      <c r="C880" s="59">
        <f>IF(B880&lt;&gt;" ",CONCATENATE(A880,B880)," ")</f>
        <v/>
      </c>
      <c r="D880" s="69" t="n"/>
      <c r="E880" s="72" t="n"/>
      <c r="F880" s="72" t="n"/>
      <c r="G880" s="72" t="n"/>
      <c r="H880" s="72" t="n"/>
      <c r="I880" s="72" t="n"/>
      <c r="J880" s="71" t="n"/>
      <c r="K880" s="73" t="n"/>
    </row>
    <row r="881">
      <c r="A881" s="62" t="inlineStr">
        <is>
          <t>P</t>
        </is>
      </c>
      <c r="B881" s="60">
        <f>IF(D881&gt;1/1/2001,B880+1," ")</f>
        <v/>
      </c>
      <c r="C881" s="59">
        <f>IF(B881&lt;&gt;" ",CONCATENATE(A881,B881)," ")</f>
        <v/>
      </c>
      <c r="D881" s="69" t="n"/>
      <c r="E881" s="72" t="n"/>
      <c r="F881" s="72" t="n"/>
      <c r="G881" s="72" t="n"/>
      <c r="H881" s="72" t="n"/>
      <c r="I881" s="72" t="n"/>
      <c r="J881" s="71" t="n"/>
      <c r="K881" s="73" t="n"/>
    </row>
    <row r="882">
      <c r="A882" s="62" t="inlineStr">
        <is>
          <t>P</t>
        </is>
      </c>
      <c r="B882" s="60">
        <f>IF(D882&gt;1/1/2001,B881+1," ")</f>
        <v/>
      </c>
      <c r="C882" s="59">
        <f>IF(B882&lt;&gt;" ",CONCATENATE(A882,B882)," ")</f>
        <v/>
      </c>
      <c r="D882" s="69" t="n"/>
      <c r="E882" s="72" t="n"/>
      <c r="F882" s="72" t="n"/>
      <c r="G882" s="72" t="n"/>
      <c r="H882" s="72" t="n"/>
      <c r="I882" s="72" t="n"/>
      <c r="J882" s="71" t="n"/>
      <c r="K882" s="73" t="n"/>
    </row>
    <row r="883">
      <c r="A883" s="62" t="inlineStr">
        <is>
          <t>P</t>
        </is>
      </c>
      <c r="B883" s="60">
        <f>IF(D883&gt;1/1/2001,B882+1," ")</f>
        <v/>
      </c>
      <c r="C883" s="59">
        <f>IF(B883&lt;&gt;" ",CONCATENATE(A883,B883)," ")</f>
        <v/>
      </c>
      <c r="D883" s="69" t="n"/>
      <c r="E883" s="72" t="n"/>
      <c r="F883" s="72" t="n"/>
      <c r="G883" s="72" t="n"/>
      <c r="H883" s="72" t="n"/>
      <c r="I883" s="72" t="n"/>
      <c r="J883" s="71" t="n"/>
      <c r="K883" s="73" t="n"/>
    </row>
    <row r="884">
      <c r="A884" s="62" t="inlineStr">
        <is>
          <t>P</t>
        </is>
      </c>
      <c r="B884" s="60">
        <f>IF(D884&gt;1/1/2001,B883+1," ")</f>
        <v/>
      </c>
      <c r="C884" s="59">
        <f>IF(B884&lt;&gt;" ",CONCATENATE(A884,B884)," ")</f>
        <v/>
      </c>
      <c r="D884" s="69" t="n"/>
      <c r="E884" s="72" t="n"/>
      <c r="F884" s="72" t="n"/>
      <c r="G884" s="72" t="n"/>
      <c r="H884" s="72" t="n"/>
      <c r="I884" s="72" t="n"/>
      <c r="J884" s="71" t="n"/>
      <c r="K884" s="73" t="n"/>
    </row>
    <row r="885">
      <c r="A885" s="62" t="inlineStr">
        <is>
          <t>P</t>
        </is>
      </c>
      <c r="B885" s="60">
        <f>IF(D885&gt;1/1/2001,B884+1," ")</f>
        <v/>
      </c>
      <c r="C885" s="59">
        <f>IF(B885&lt;&gt;" ",CONCATENATE(A885,B885)," ")</f>
        <v/>
      </c>
      <c r="D885" s="69" t="n"/>
      <c r="E885" s="72" t="n"/>
      <c r="F885" s="72" t="n"/>
      <c r="G885" s="72" t="n"/>
      <c r="H885" s="72" t="n"/>
      <c r="I885" s="72" t="n"/>
      <c r="J885" s="71" t="n"/>
      <c r="K885" s="73" t="n"/>
    </row>
    <row r="886">
      <c r="A886" s="62" t="inlineStr">
        <is>
          <t>P</t>
        </is>
      </c>
      <c r="B886" s="60">
        <f>IF(D886&gt;1/1/2001,B885+1," ")</f>
        <v/>
      </c>
      <c r="C886" s="59">
        <f>IF(B886&lt;&gt;" ",CONCATENATE(A886,B886)," ")</f>
        <v/>
      </c>
      <c r="D886" s="69" t="n"/>
      <c r="E886" s="72" t="n"/>
      <c r="F886" s="72" t="n"/>
      <c r="G886" s="72" t="n"/>
      <c r="H886" s="72" t="n"/>
      <c r="I886" s="72" t="n"/>
      <c r="J886" s="71" t="n"/>
      <c r="K886" s="73" t="n"/>
    </row>
    <row r="887">
      <c r="A887" s="62" t="inlineStr">
        <is>
          <t>P</t>
        </is>
      </c>
      <c r="B887" s="60">
        <f>IF(D887&gt;1/1/2001,B886+1," ")</f>
        <v/>
      </c>
      <c r="C887" s="59">
        <f>IF(B887&lt;&gt;" ",CONCATENATE(A887,B887)," ")</f>
        <v/>
      </c>
      <c r="D887" s="69" t="n"/>
      <c r="E887" s="72" t="n"/>
      <c r="F887" s="72" t="n"/>
      <c r="G887" s="72" t="n"/>
      <c r="H887" s="72" t="n"/>
      <c r="I887" s="72" t="n"/>
      <c r="J887" s="71" t="n"/>
      <c r="K887" s="73" t="n"/>
    </row>
    <row r="888">
      <c r="A888" s="62" t="inlineStr">
        <is>
          <t>P</t>
        </is>
      </c>
      <c r="B888" s="60">
        <f>IF(D888&gt;1/1/2001,B887+1," ")</f>
        <v/>
      </c>
      <c r="C888" s="59">
        <f>IF(B888&lt;&gt;" ",CONCATENATE(A888,B888)," ")</f>
        <v/>
      </c>
      <c r="D888" s="69" t="n"/>
      <c r="E888" s="72" t="n"/>
      <c r="F888" s="72" t="n"/>
      <c r="G888" s="72" t="n"/>
      <c r="H888" s="72" t="n"/>
      <c r="I888" s="72" t="n"/>
      <c r="J888" s="71" t="n"/>
      <c r="K888" s="73" t="n"/>
    </row>
    <row r="889">
      <c r="A889" s="62" t="inlineStr">
        <is>
          <t>P</t>
        </is>
      </c>
      <c r="B889" s="60">
        <f>IF(D889&gt;1/1/2001,B888+1," ")</f>
        <v/>
      </c>
      <c r="C889" s="59">
        <f>IF(B889&lt;&gt;" ",CONCATENATE(A889,B889)," ")</f>
        <v/>
      </c>
      <c r="D889" s="69" t="n"/>
      <c r="E889" s="72" t="n"/>
      <c r="F889" s="72" t="n"/>
      <c r="G889" s="72" t="n"/>
      <c r="H889" s="72" t="n"/>
      <c r="I889" s="72" t="n"/>
      <c r="J889" s="71" t="n"/>
      <c r="K889" s="73" t="n"/>
    </row>
    <row r="890">
      <c r="A890" s="62" t="inlineStr">
        <is>
          <t>P</t>
        </is>
      </c>
      <c r="B890" s="60">
        <f>IF(D890&gt;1/1/2001,B889+1," ")</f>
        <v/>
      </c>
      <c r="C890" s="59">
        <f>IF(B890&lt;&gt;" ",CONCATENATE(A890,B890)," ")</f>
        <v/>
      </c>
      <c r="D890" s="69" t="n"/>
      <c r="E890" s="72" t="n"/>
      <c r="F890" s="72" t="n"/>
      <c r="G890" s="72" t="n"/>
      <c r="H890" s="72" t="n"/>
      <c r="I890" s="72" t="n"/>
      <c r="J890" s="71" t="n"/>
      <c r="K890" s="73" t="n"/>
    </row>
    <row r="891">
      <c r="A891" s="62" t="inlineStr">
        <is>
          <t>P</t>
        </is>
      </c>
      <c r="B891" s="60">
        <f>IF(D891&gt;1/1/2001,B890+1," ")</f>
        <v/>
      </c>
      <c r="C891" s="59">
        <f>IF(B891&lt;&gt;" ",CONCATENATE(A891,B891)," ")</f>
        <v/>
      </c>
      <c r="D891" s="69" t="n"/>
      <c r="E891" s="72" t="n"/>
      <c r="F891" s="72" t="n"/>
      <c r="G891" s="72" t="n"/>
      <c r="H891" s="72" t="n"/>
      <c r="I891" s="72" t="n"/>
      <c r="J891" s="71" t="n"/>
      <c r="K891" s="73" t="n"/>
    </row>
    <row r="892">
      <c r="A892" s="62" t="inlineStr">
        <is>
          <t>P</t>
        </is>
      </c>
      <c r="B892" s="60">
        <f>IF(D892&gt;1/1/2001,B891+1," ")</f>
        <v/>
      </c>
      <c r="C892" s="59">
        <f>IF(B892&lt;&gt;" ",CONCATENATE(A892,B892)," ")</f>
        <v/>
      </c>
      <c r="D892" s="69" t="n"/>
      <c r="E892" s="72" t="n"/>
      <c r="F892" s="72" t="n"/>
      <c r="G892" s="72" t="n"/>
      <c r="H892" s="72" t="n"/>
      <c r="I892" s="72" t="n"/>
      <c r="J892" s="71" t="n"/>
      <c r="K892" s="73" t="n"/>
    </row>
    <row r="893">
      <c r="A893" s="62" t="inlineStr">
        <is>
          <t>P</t>
        </is>
      </c>
      <c r="B893" s="60">
        <f>IF(D893&gt;1/1/2001,B892+1," ")</f>
        <v/>
      </c>
      <c r="C893" s="59">
        <f>IF(B893&lt;&gt;" ",CONCATENATE(A893,B893)," ")</f>
        <v/>
      </c>
      <c r="D893" s="69" t="n"/>
      <c r="E893" s="72" t="n"/>
      <c r="F893" s="72" t="n"/>
      <c r="G893" s="72" t="n"/>
      <c r="H893" s="72" t="n"/>
      <c r="I893" s="72" t="n"/>
      <c r="J893" s="71" t="n"/>
      <c r="K893" s="73" t="n"/>
    </row>
    <row r="894">
      <c r="A894" s="62" t="inlineStr">
        <is>
          <t>P</t>
        </is>
      </c>
      <c r="B894" s="60">
        <f>IF(D894&gt;1/1/2001,B893+1," ")</f>
        <v/>
      </c>
      <c r="C894" s="59">
        <f>IF(B894&lt;&gt;" ",CONCATENATE(A894,B894)," ")</f>
        <v/>
      </c>
      <c r="D894" s="69" t="n"/>
      <c r="E894" s="72" t="n"/>
      <c r="F894" s="72" t="n"/>
      <c r="G894" s="72" t="n"/>
      <c r="H894" s="72" t="n"/>
      <c r="I894" s="72" t="n"/>
      <c r="J894" s="71" t="n"/>
      <c r="K894" s="73" t="n"/>
    </row>
    <row r="895">
      <c r="A895" s="62" t="inlineStr">
        <is>
          <t>P</t>
        </is>
      </c>
      <c r="B895" s="60">
        <f>IF(D895&gt;1/1/2001,B894+1," ")</f>
        <v/>
      </c>
      <c r="C895" s="59">
        <f>IF(B895&lt;&gt;" ",CONCATENATE(A895,B895)," ")</f>
        <v/>
      </c>
      <c r="D895" s="69" t="n"/>
      <c r="E895" s="72" t="n"/>
      <c r="F895" s="72" t="n"/>
      <c r="G895" s="72" t="n"/>
      <c r="H895" s="72" t="n"/>
      <c r="I895" s="72" t="n"/>
      <c r="J895" s="71" t="n"/>
      <c r="K895" s="73" t="n"/>
    </row>
    <row r="896">
      <c r="A896" s="62" t="inlineStr">
        <is>
          <t>P</t>
        </is>
      </c>
      <c r="B896" s="60">
        <f>IF(D896&gt;1/1/2001,B895+1," ")</f>
        <v/>
      </c>
      <c r="C896" s="59">
        <f>IF(B896&lt;&gt;" ",CONCATENATE(A896,B896)," ")</f>
        <v/>
      </c>
      <c r="D896" s="69" t="n"/>
      <c r="E896" s="72" t="n"/>
      <c r="F896" s="72" t="n"/>
      <c r="G896" s="72" t="n"/>
      <c r="H896" s="72" t="n"/>
      <c r="I896" s="72" t="n"/>
      <c r="J896" s="71" t="n"/>
      <c r="K896" s="73" t="n"/>
    </row>
    <row r="897">
      <c r="A897" s="62" t="inlineStr">
        <is>
          <t>P</t>
        </is>
      </c>
      <c r="B897" s="60">
        <f>IF(D897&gt;1/1/2001,B896+1," ")</f>
        <v/>
      </c>
      <c r="C897" s="59">
        <f>IF(B897&lt;&gt;" ",CONCATENATE(A897,B897)," ")</f>
        <v/>
      </c>
      <c r="D897" s="69" t="n"/>
      <c r="E897" s="72" t="n"/>
      <c r="F897" s="72" t="n"/>
      <c r="G897" s="72" t="n"/>
      <c r="H897" s="72" t="n"/>
      <c r="I897" s="72" t="n"/>
      <c r="J897" s="71" t="n"/>
      <c r="K897" s="73" t="n"/>
    </row>
    <row r="898">
      <c r="A898" s="62" t="inlineStr">
        <is>
          <t>P</t>
        </is>
      </c>
      <c r="B898" s="60">
        <f>IF(D898&gt;1/1/2001,B897+1," ")</f>
        <v/>
      </c>
      <c r="C898" s="59">
        <f>IF(B898&lt;&gt;" ",CONCATENATE(A898,B898)," ")</f>
        <v/>
      </c>
      <c r="D898" s="69" t="n"/>
      <c r="E898" s="72" t="n"/>
      <c r="F898" s="72" t="n"/>
      <c r="G898" s="72" t="n"/>
      <c r="H898" s="72" t="n"/>
      <c r="I898" s="72" t="n"/>
      <c r="J898" s="71" t="n"/>
      <c r="K898" s="73" t="n"/>
    </row>
    <row r="899">
      <c r="A899" s="62" t="inlineStr">
        <is>
          <t>P</t>
        </is>
      </c>
      <c r="B899" s="60">
        <f>IF(D899&gt;1/1/2001,B898+1," ")</f>
        <v/>
      </c>
      <c r="C899" s="59">
        <f>IF(B899&lt;&gt;" ",CONCATENATE(A899,B899)," ")</f>
        <v/>
      </c>
      <c r="D899" s="69" t="n"/>
      <c r="E899" s="72" t="n"/>
      <c r="F899" s="72" t="n"/>
      <c r="G899" s="72" t="n"/>
      <c r="H899" s="72" t="n"/>
      <c r="I899" s="72" t="n"/>
      <c r="J899" s="71" t="n"/>
      <c r="K899" s="73" t="n"/>
    </row>
    <row r="900">
      <c r="A900" s="62" t="inlineStr">
        <is>
          <t>P</t>
        </is>
      </c>
      <c r="B900" s="60">
        <f>IF(D900&gt;1/1/2001,B899+1," ")</f>
        <v/>
      </c>
      <c r="C900" s="59">
        <f>IF(B900&lt;&gt;" ",CONCATENATE(A900,B900)," ")</f>
        <v/>
      </c>
      <c r="D900" s="69" t="n"/>
      <c r="E900" s="72" t="n"/>
      <c r="F900" s="72" t="n"/>
      <c r="G900" s="72" t="n"/>
      <c r="H900" s="72" t="n"/>
      <c r="I900" s="72" t="n"/>
      <c r="J900" s="71" t="n"/>
      <c r="K900" s="73" t="n"/>
    </row>
    <row r="901">
      <c r="A901" s="62" t="inlineStr">
        <is>
          <t>P</t>
        </is>
      </c>
      <c r="B901" s="60">
        <f>IF(D901&gt;1/1/2001,B900+1," ")</f>
        <v/>
      </c>
      <c r="C901" s="59">
        <f>IF(B901&lt;&gt;" ",CONCATENATE(A901,B901)," ")</f>
        <v/>
      </c>
      <c r="D901" s="69" t="n"/>
      <c r="E901" s="72" t="n"/>
      <c r="F901" s="72" t="n"/>
      <c r="G901" s="72" t="n"/>
      <c r="H901" s="72" t="n"/>
      <c r="I901" s="72" t="n"/>
      <c r="J901" s="71" t="n"/>
      <c r="K901" s="73" t="n"/>
    </row>
    <row r="902">
      <c r="A902" s="62" t="inlineStr">
        <is>
          <t>P</t>
        </is>
      </c>
      <c r="B902" s="60">
        <f>IF(D902&gt;1/1/2001,B901+1," ")</f>
        <v/>
      </c>
      <c r="C902" s="59">
        <f>IF(B902&lt;&gt;" ",CONCATENATE(A902,B902)," ")</f>
        <v/>
      </c>
      <c r="D902" s="69" t="n"/>
      <c r="E902" s="72" t="n"/>
      <c r="F902" s="72" t="n"/>
      <c r="G902" s="72" t="n"/>
      <c r="H902" s="72" t="n"/>
      <c r="I902" s="72" t="n"/>
      <c r="J902" s="71" t="n"/>
      <c r="K902" s="73" t="n"/>
    </row>
    <row r="903">
      <c r="A903" s="62" t="inlineStr">
        <is>
          <t>P</t>
        </is>
      </c>
      <c r="B903" s="60">
        <f>IF(D903&gt;1/1/2001,B902+1," ")</f>
        <v/>
      </c>
      <c r="C903" s="59">
        <f>IF(B903&lt;&gt;" ",CONCATENATE(A903,B903)," ")</f>
        <v/>
      </c>
      <c r="D903" s="69" t="n"/>
      <c r="E903" s="72" t="n"/>
      <c r="F903" s="72" t="n"/>
      <c r="G903" s="72" t="n"/>
      <c r="H903" s="72" t="n"/>
      <c r="I903" s="72" t="n"/>
      <c r="J903" s="71" t="n"/>
      <c r="K903" s="73" t="n"/>
    </row>
    <row r="904">
      <c r="A904" s="62" t="inlineStr">
        <is>
          <t>P</t>
        </is>
      </c>
      <c r="B904" s="60">
        <f>IF(D904&gt;1/1/2001,B903+1," ")</f>
        <v/>
      </c>
      <c r="C904" s="59">
        <f>IF(B904&lt;&gt;" ",CONCATENATE(A904,B904)," ")</f>
        <v/>
      </c>
      <c r="D904" s="69" t="n"/>
      <c r="E904" s="72" t="n"/>
      <c r="F904" s="72" t="n"/>
      <c r="G904" s="72" t="n"/>
      <c r="H904" s="72" t="n"/>
      <c r="I904" s="72" t="n"/>
      <c r="J904" s="71" t="n"/>
      <c r="K904" s="73" t="n"/>
    </row>
    <row r="905">
      <c r="A905" s="62" t="inlineStr">
        <is>
          <t>P</t>
        </is>
      </c>
      <c r="B905" s="60">
        <f>IF(D905&gt;1/1/2001,B904+1," ")</f>
        <v/>
      </c>
      <c r="C905" s="59">
        <f>IF(B905&lt;&gt;" ",CONCATENATE(A905,B905)," ")</f>
        <v/>
      </c>
      <c r="D905" s="69" t="n"/>
      <c r="E905" s="72" t="n"/>
      <c r="F905" s="72" t="n"/>
      <c r="G905" s="72" t="n"/>
      <c r="H905" s="72" t="n"/>
      <c r="I905" s="72" t="n"/>
      <c r="J905" s="71" t="n"/>
      <c r="K905" s="73" t="n"/>
    </row>
    <row r="906">
      <c r="A906" s="62" t="inlineStr">
        <is>
          <t>P</t>
        </is>
      </c>
      <c r="B906" s="60">
        <f>IF(D906&gt;1/1/2001,B905+1," ")</f>
        <v/>
      </c>
      <c r="C906" s="59">
        <f>IF(B906&lt;&gt;" ",CONCATENATE(A906,B906)," ")</f>
        <v/>
      </c>
      <c r="D906" s="69" t="n"/>
      <c r="E906" s="72" t="n"/>
      <c r="F906" s="72" t="n"/>
      <c r="G906" s="72" t="n"/>
      <c r="H906" s="72" t="n"/>
      <c r="I906" s="72" t="n"/>
      <c r="J906" s="71" t="n"/>
      <c r="K906" s="73" t="n"/>
    </row>
    <row r="907">
      <c r="A907" s="62" t="inlineStr">
        <is>
          <t>P</t>
        </is>
      </c>
      <c r="B907" s="60">
        <f>IF(D907&gt;1/1/2001,B906+1," ")</f>
        <v/>
      </c>
      <c r="C907" s="59">
        <f>IF(B907&lt;&gt;" ",CONCATENATE(A907,B907)," ")</f>
        <v/>
      </c>
      <c r="D907" s="69" t="n"/>
      <c r="E907" s="72" t="n"/>
      <c r="F907" s="72" t="n"/>
      <c r="G907" s="72" t="n"/>
      <c r="H907" s="72" t="n"/>
      <c r="I907" s="72" t="n"/>
      <c r="J907" s="71" t="n"/>
      <c r="K907" s="73" t="n"/>
    </row>
    <row r="908">
      <c r="A908" s="62" t="inlineStr">
        <is>
          <t>P</t>
        </is>
      </c>
      <c r="B908" s="60">
        <f>IF(D908&gt;1/1/2001,B907+1," ")</f>
        <v/>
      </c>
      <c r="C908" s="59">
        <f>IF(B908&lt;&gt;" ",CONCATENATE(A908,B908)," ")</f>
        <v/>
      </c>
      <c r="D908" s="69" t="n"/>
      <c r="E908" s="72" t="n"/>
      <c r="F908" s="72" t="n"/>
      <c r="G908" s="72" t="n"/>
      <c r="H908" s="72" t="n"/>
      <c r="I908" s="72" t="n"/>
      <c r="J908" s="71" t="n"/>
      <c r="K908" s="73" t="n"/>
    </row>
    <row r="909">
      <c r="A909" s="62" t="inlineStr">
        <is>
          <t>P</t>
        </is>
      </c>
      <c r="B909" s="60">
        <f>IF(D909&gt;1/1/2001,B908+1," ")</f>
        <v/>
      </c>
      <c r="C909" s="59">
        <f>IF(B909&lt;&gt;" ",CONCATENATE(A909,B909)," ")</f>
        <v/>
      </c>
      <c r="D909" s="69" t="n"/>
      <c r="E909" s="72" t="n"/>
      <c r="F909" s="72" t="n"/>
      <c r="G909" s="72" t="n"/>
      <c r="H909" s="72" t="n"/>
      <c r="I909" s="72" t="n"/>
      <c r="J909" s="71" t="n"/>
      <c r="K909" s="73" t="n"/>
    </row>
    <row r="910">
      <c r="A910" s="62" t="inlineStr">
        <is>
          <t>P</t>
        </is>
      </c>
      <c r="B910" s="60">
        <f>IF(D910&gt;1/1/2001,B909+1," ")</f>
        <v/>
      </c>
      <c r="C910" s="59">
        <f>IF(B910&lt;&gt;" ",CONCATENATE(A910,B910)," ")</f>
        <v/>
      </c>
      <c r="D910" s="69" t="n"/>
      <c r="E910" s="72" t="n"/>
      <c r="F910" s="72" t="n"/>
      <c r="G910" s="72" t="n"/>
      <c r="H910" s="72" t="n"/>
      <c r="I910" s="72" t="n"/>
      <c r="J910" s="71" t="n"/>
      <c r="K910" s="73" t="n"/>
    </row>
    <row r="911">
      <c r="A911" s="62" t="inlineStr">
        <is>
          <t>P</t>
        </is>
      </c>
      <c r="B911" s="60">
        <f>IF(D911&gt;1/1/2001,B910+1," ")</f>
        <v/>
      </c>
      <c r="C911" s="59">
        <f>IF(B911&lt;&gt;" ",CONCATENATE(A911,B911)," ")</f>
        <v/>
      </c>
      <c r="D911" s="69" t="n"/>
      <c r="E911" s="72" t="n"/>
      <c r="F911" s="72" t="n"/>
      <c r="G911" s="72" t="n"/>
      <c r="H911" s="72" t="n"/>
      <c r="I911" s="72" t="n"/>
      <c r="J911" s="71" t="n"/>
      <c r="K911" s="73" t="n"/>
    </row>
    <row r="912">
      <c r="A912" s="62" t="inlineStr">
        <is>
          <t>P</t>
        </is>
      </c>
      <c r="B912" s="60">
        <f>IF(D912&gt;1/1/2001,B911+1," ")</f>
        <v/>
      </c>
      <c r="C912" s="59">
        <f>IF(B912&lt;&gt;" ",CONCATENATE(A912,B912)," ")</f>
        <v/>
      </c>
      <c r="D912" s="69" t="n"/>
      <c r="E912" s="72" t="n"/>
      <c r="F912" s="72" t="n"/>
      <c r="G912" s="72" t="n"/>
      <c r="H912" s="72" t="n"/>
      <c r="I912" s="72" t="n"/>
      <c r="J912" s="71" t="n"/>
      <c r="K912" s="73" t="n"/>
    </row>
    <row r="913">
      <c r="A913" s="62" t="inlineStr">
        <is>
          <t>P</t>
        </is>
      </c>
      <c r="B913" s="60">
        <f>IF(D913&gt;1/1/2001,B912+1," ")</f>
        <v/>
      </c>
      <c r="C913" s="59">
        <f>IF(B913&lt;&gt;" ",CONCATENATE(A913,B913)," ")</f>
        <v/>
      </c>
      <c r="D913" s="69" t="n"/>
      <c r="E913" s="72" t="n"/>
      <c r="F913" s="72" t="n"/>
      <c r="G913" s="72" t="n"/>
      <c r="H913" s="72" t="n"/>
      <c r="I913" s="72" t="n"/>
      <c r="J913" s="71" t="n"/>
      <c r="K913" s="73" t="n"/>
    </row>
    <row r="914">
      <c r="A914" s="62" t="inlineStr">
        <is>
          <t>P</t>
        </is>
      </c>
      <c r="B914" s="60">
        <f>IF(D914&gt;1/1/2001,B913+1," ")</f>
        <v/>
      </c>
      <c r="C914" s="59">
        <f>IF(B914&lt;&gt;" ",CONCATENATE(A914,B914)," ")</f>
        <v/>
      </c>
      <c r="D914" s="69" t="n"/>
      <c r="E914" s="72" t="n"/>
      <c r="F914" s="72" t="n"/>
      <c r="G914" s="72" t="n"/>
      <c r="H914" s="72" t="n"/>
      <c r="I914" s="72" t="n"/>
      <c r="J914" s="71" t="n"/>
      <c r="K914" s="73" t="n"/>
    </row>
    <row r="915">
      <c r="A915" s="62" t="inlineStr">
        <is>
          <t>P</t>
        </is>
      </c>
      <c r="B915" s="60">
        <f>IF(D915&gt;1/1/2001,B914+1," ")</f>
        <v/>
      </c>
      <c r="C915" s="59">
        <f>IF(B915&lt;&gt;" ",CONCATENATE(A915,B915)," ")</f>
        <v/>
      </c>
      <c r="D915" s="69" t="n"/>
      <c r="E915" s="72" t="n"/>
      <c r="F915" s="72" t="n"/>
      <c r="G915" s="72" t="n"/>
      <c r="H915" s="72" t="n"/>
      <c r="I915" s="72" t="n"/>
      <c r="J915" s="71" t="n"/>
      <c r="K915" s="73" t="n"/>
    </row>
    <row r="916">
      <c r="A916" s="62" t="inlineStr">
        <is>
          <t>P</t>
        </is>
      </c>
      <c r="B916" s="60">
        <f>IF(D916&gt;1/1/2001,B915+1," ")</f>
        <v/>
      </c>
      <c r="C916" s="59">
        <f>IF(B916&lt;&gt;" ",CONCATENATE(A916,B916)," ")</f>
        <v/>
      </c>
      <c r="D916" s="69" t="n"/>
      <c r="E916" s="72" t="n"/>
      <c r="F916" s="72" t="n"/>
      <c r="G916" s="72" t="n"/>
      <c r="H916" s="72" t="n"/>
      <c r="I916" s="72" t="n"/>
      <c r="J916" s="71" t="n"/>
      <c r="K916" s="73" t="n"/>
    </row>
    <row r="917">
      <c r="A917" s="62" t="inlineStr">
        <is>
          <t>P</t>
        </is>
      </c>
      <c r="B917" s="60">
        <f>IF(D917&gt;1/1/2001,B916+1," ")</f>
        <v/>
      </c>
      <c r="C917" s="59">
        <f>IF(B917&lt;&gt;" ",CONCATENATE(A917,B917)," ")</f>
        <v/>
      </c>
      <c r="D917" s="69" t="n"/>
      <c r="E917" s="72" t="n"/>
      <c r="F917" s="72" t="n"/>
      <c r="G917" s="72" t="n"/>
      <c r="H917" s="72" t="n"/>
      <c r="I917" s="72" t="n"/>
      <c r="J917" s="71" t="n"/>
      <c r="K917" s="73" t="n"/>
    </row>
    <row r="918">
      <c r="A918" s="62" t="inlineStr">
        <is>
          <t>P</t>
        </is>
      </c>
      <c r="B918" s="60">
        <f>IF(D918&gt;1/1/2001,B917+1," ")</f>
        <v/>
      </c>
      <c r="C918" s="59">
        <f>IF(B918&lt;&gt;" ",CONCATENATE(A918,B918)," ")</f>
        <v/>
      </c>
      <c r="D918" s="69" t="n"/>
      <c r="E918" s="72" t="n"/>
      <c r="F918" s="72" t="n"/>
      <c r="G918" s="72" t="n"/>
      <c r="H918" s="72" t="n"/>
      <c r="I918" s="72" t="n"/>
      <c r="J918" s="71" t="n"/>
      <c r="K918" s="73" t="n"/>
    </row>
    <row r="919">
      <c r="A919" s="62" t="inlineStr">
        <is>
          <t>P</t>
        </is>
      </c>
      <c r="B919" s="60">
        <f>IF(D919&gt;1/1/2001,B918+1," ")</f>
        <v/>
      </c>
      <c r="C919" s="59">
        <f>IF(B919&lt;&gt;" ",CONCATENATE(A919,B919)," ")</f>
        <v/>
      </c>
      <c r="D919" s="69" t="n"/>
      <c r="E919" s="72" t="n"/>
      <c r="F919" s="72" t="n"/>
      <c r="G919" s="72" t="n"/>
      <c r="H919" s="72" t="n"/>
      <c r="I919" s="72" t="n"/>
      <c r="J919" s="71" t="n"/>
      <c r="K919" s="73" t="n"/>
    </row>
    <row r="920">
      <c r="A920" s="62" t="inlineStr">
        <is>
          <t>P</t>
        </is>
      </c>
      <c r="B920" s="60">
        <f>IF(D920&gt;1/1/2001,B919+1," ")</f>
        <v/>
      </c>
      <c r="C920" s="59">
        <f>IF(B920&lt;&gt;" ",CONCATENATE(A920,B920)," ")</f>
        <v/>
      </c>
      <c r="D920" s="69" t="n"/>
      <c r="E920" s="72" t="n"/>
      <c r="F920" s="72" t="n"/>
      <c r="G920" s="72" t="n"/>
      <c r="H920" s="72" t="n"/>
      <c r="I920" s="72" t="n"/>
      <c r="J920" s="71" t="n"/>
      <c r="K920" s="73" t="n"/>
    </row>
    <row r="921">
      <c r="A921" s="62" t="inlineStr">
        <is>
          <t>P</t>
        </is>
      </c>
      <c r="B921" s="60">
        <f>IF(D921&gt;1/1/2001,B920+1," ")</f>
        <v/>
      </c>
      <c r="C921" s="59">
        <f>IF(B921&lt;&gt;" ",CONCATENATE(A921,B921)," ")</f>
        <v/>
      </c>
      <c r="D921" s="69" t="n"/>
      <c r="E921" s="72" t="n"/>
      <c r="F921" s="72" t="n"/>
      <c r="G921" s="72" t="n"/>
      <c r="H921" s="72" t="n"/>
      <c r="I921" s="72" t="n"/>
      <c r="J921" s="71" t="n"/>
      <c r="K921" s="73" t="n"/>
    </row>
    <row r="922">
      <c r="A922" s="62" t="inlineStr">
        <is>
          <t>P</t>
        </is>
      </c>
      <c r="B922" s="60">
        <f>IF(D922&gt;1/1/2001,B921+1," ")</f>
        <v/>
      </c>
      <c r="C922" s="59">
        <f>IF(B922&lt;&gt;" ",CONCATENATE(A922,B922)," ")</f>
        <v/>
      </c>
      <c r="D922" s="69" t="n"/>
      <c r="E922" s="72" t="n"/>
      <c r="F922" s="72" t="n"/>
      <c r="G922" s="72" t="n"/>
      <c r="H922" s="72" t="n"/>
      <c r="I922" s="72" t="n"/>
      <c r="J922" s="71" t="n"/>
      <c r="K922" s="73" t="n"/>
    </row>
    <row r="923">
      <c r="A923" s="62" t="inlineStr">
        <is>
          <t>P</t>
        </is>
      </c>
      <c r="B923" s="60">
        <f>IF(D923&gt;1/1/2001,B922+1," ")</f>
        <v/>
      </c>
      <c r="C923" s="59">
        <f>IF(B923&lt;&gt;" ",CONCATENATE(A923,B923)," ")</f>
        <v/>
      </c>
      <c r="D923" s="69" t="n"/>
      <c r="E923" s="72" t="n"/>
      <c r="F923" s="72" t="n"/>
      <c r="G923" s="72" t="n"/>
      <c r="H923" s="72" t="n"/>
      <c r="I923" s="72" t="n"/>
      <c r="J923" s="71" t="n"/>
      <c r="K923" s="73" t="n"/>
    </row>
    <row r="924">
      <c r="A924" s="62" t="inlineStr">
        <is>
          <t>P</t>
        </is>
      </c>
      <c r="B924" s="60">
        <f>IF(D924&gt;1/1/2001,B923+1," ")</f>
        <v/>
      </c>
      <c r="C924" s="59">
        <f>IF(B924&lt;&gt;" ",CONCATENATE(A924,B924)," ")</f>
        <v/>
      </c>
      <c r="D924" s="69" t="n"/>
      <c r="E924" s="72" t="n"/>
      <c r="F924" s="72" t="n"/>
      <c r="G924" s="72" t="n"/>
      <c r="H924" s="72" t="n"/>
      <c r="I924" s="72" t="n"/>
      <c r="J924" s="71" t="n"/>
      <c r="K924" s="73" t="n"/>
    </row>
    <row r="925">
      <c r="A925" s="62" t="inlineStr">
        <is>
          <t>P</t>
        </is>
      </c>
      <c r="B925" s="60">
        <f>IF(D925&gt;1/1/2001,B924+1," ")</f>
        <v/>
      </c>
      <c r="C925" s="59">
        <f>IF(B925&lt;&gt;" ",CONCATENATE(A925,B925)," ")</f>
        <v/>
      </c>
      <c r="D925" s="69" t="n"/>
      <c r="E925" s="72" t="n"/>
      <c r="F925" s="72" t="n"/>
      <c r="G925" s="72" t="n"/>
      <c r="H925" s="72" t="n"/>
      <c r="I925" s="72" t="n"/>
      <c r="J925" s="71" t="n"/>
      <c r="K925" s="73" t="n"/>
    </row>
    <row r="926">
      <c r="A926" s="62" t="inlineStr">
        <is>
          <t>P</t>
        </is>
      </c>
      <c r="B926" s="60">
        <f>IF(D926&gt;1/1/2001,B925+1," ")</f>
        <v/>
      </c>
      <c r="C926" s="59">
        <f>IF(B926&lt;&gt;" ",CONCATENATE(A926,B926)," ")</f>
        <v/>
      </c>
      <c r="D926" s="69" t="n"/>
      <c r="E926" s="72" t="n"/>
      <c r="F926" s="72" t="n"/>
      <c r="G926" s="72" t="n"/>
      <c r="H926" s="72" t="n"/>
      <c r="I926" s="72" t="n"/>
      <c r="J926" s="71" t="n"/>
      <c r="K926" s="73" t="n"/>
    </row>
    <row r="927">
      <c r="A927" s="62" t="inlineStr">
        <is>
          <t>P</t>
        </is>
      </c>
      <c r="B927" s="60">
        <f>IF(D927&gt;1/1/2001,B926+1," ")</f>
        <v/>
      </c>
      <c r="C927" s="59">
        <f>IF(B927&lt;&gt;" ",CONCATENATE(A927,B927)," ")</f>
        <v/>
      </c>
      <c r="D927" s="69" t="n"/>
      <c r="E927" s="72" t="n"/>
      <c r="F927" s="72" t="n"/>
      <c r="G927" s="72" t="n"/>
      <c r="H927" s="72" t="n"/>
      <c r="I927" s="72" t="n"/>
      <c r="J927" s="71" t="n"/>
      <c r="K927" s="73" t="n"/>
    </row>
    <row r="928">
      <c r="A928" s="62" t="inlineStr">
        <is>
          <t>P</t>
        </is>
      </c>
      <c r="B928" s="60">
        <f>IF(D928&gt;1/1/2001,B927+1," ")</f>
        <v/>
      </c>
      <c r="C928" s="59">
        <f>IF(B928&lt;&gt;" ",CONCATENATE(A928,B928)," ")</f>
        <v/>
      </c>
      <c r="D928" s="69" t="n"/>
      <c r="E928" s="72" t="n"/>
      <c r="F928" s="72" t="n"/>
      <c r="G928" s="72" t="n"/>
      <c r="H928" s="72" t="n"/>
      <c r="I928" s="72" t="n"/>
      <c r="J928" s="71" t="n"/>
      <c r="K928" s="73" t="n"/>
    </row>
    <row r="929">
      <c r="A929" s="62" t="inlineStr">
        <is>
          <t>P</t>
        </is>
      </c>
      <c r="B929" s="60">
        <f>IF(D929&gt;1/1/2001,B928+1," ")</f>
        <v/>
      </c>
      <c r="C929" s="59">
        <f>IF(B929&lt;&gt;" ",CONCATENATE(A929,B929)," ")</f>
        <v/>
      </c>
      <c r="D929" s="69" t="n"/>
      <c r="E929" s="72" t="n"/>
      <c r="F929" s="72" t="n"/>
      <c r="G929" s="72" t="n"/>
      <c r="H929" s="72" t="n"/>
      <c r="I929" s="72" t="n"/>
      <c r="J929" s="71" t="n"/>
      <c r="K929" s="73" t="n"/>
    </row>
    <row r="930">
      <c r="A930" s="62" t="inlineStr">
        <is>
          <t>P</t>
        </is>
      </c>
      <c r="B930" s="60">
        <f>IF(D930&gt;1/1/2001,B929+1," ")</f>
        <v/>
      </c>
      <c r="C930" s="59">
        <f>IF(B930&lt;&gt;" ",CONCATENATE(A930,B930)," ")</f>
        <v/>
      </c>
      <c r="D930" s="69" t="n"/>
      <c r="E930" s="72" t="n"/>
      <c r="F930" s="72" t="n"/>
      <c r="G930" s="72" t="n"/>
      <c r="H930" s="72" t="n"/>
      <c r="I930" s="72" t="n"/>
      <c r="J930" s="71" t="n"/>
      <c r="K930" s="73" t="n"/>
    </row>
    <row r="931">
      <c r="A931" s="62" t="inlineStr">
        <is>
          <t>P</t>
        </is>
      </c>
      <c r="B931" s="60">
        <f>IF(D931&gt;1/1/2001,B930+1," ")</f>
        <v/>
      </c>
      <c r="C931" s="59">
        <f>IF(B931&lt;&gt;" ",CONCATENATE(A931,B931)," ")</f>
        <v/>
      </c>
      <c r="D931" s="69" t="n"/>
      <c r="E931" s="72" t="n"/>
      <c r="F931" s="72" t="n"/>
      <c r="G931" s="72" t="n"/>
      <c r="H931" s="72" t="n"/>
      <c r="I931" s="72" t="n"/>
      <c r="J931" s="71" t="n"/>
      <c r="K931" s="73" t="n"/>
    </row>
    <row r="932">
      <c r="A932" s="62" t="inlineStr">
        <is>
          <t>P</t>
        </is>
      </c>
      <c r="B932" s="60">
        <f>IF(D932&gt;1/1/2001,B931+1," ")</f>
        <v/>
      </c>
      <c r="C932" s="59">
        <f>IF(B932&lt;&gt;" ",CONCATENATE(A932,B932)," ")</f>
        <v/>
      </c>
      <c r="D932" s="69" t="n"/>
      <c r="E932" s="72" t="n"/>
      <c r="F932" s="72" t="n"/>
      <c r="G932" s="72" t="n"/>
      <c r="H932" s="72" t="n"/>
      <c r="I932" s="72" t="n"/>
      <c r="J932" s="71" t="n"/>
      <c r="K932" s="73" t="n"/>
    </row>
    <row r="933">
      <c r="A933" s="62" t="inlineStr">
        <is>
          <t>P</t>
        </is>
      </c>
      <c r="B933" s="60">
        <f>IF(D933&gt;1/1/2001,B932+1," ")</f>
        <v/>
      </c>
      <c r="C933" s="59">
        <f>IF(B933&lt;&gt;" ",CONCATENATE(A933,B933)," ")</f>
        <v/>
      </c>
      <c r="D933" s="69" t="n"/>
      <c r="E933" s="72" t="n"/>
      <c r="F933" s="72" t="n"/>
      <c r="G933" s="72" t="n"/>
      <c r="H933" s="72" t="n"/>
      <c r="I933" s="72" t="n"/>
      <c r="J933" s="71" t="n"/>
      <c r="K933" s="73" t="n"/>
    </row>
    <row r="934">
      <c r="A934" s="62" t="inlineStr">
        <is>
          <t>P</t>
        </is>
      </c>
      <c r="B934" s="60">
        <f>IF(D934&gt;1/1/2001,B933+1," ")</f>
        <v/>
      </c>
      <c r="C934" s="59">
        <f>IF(B934&lt;&gt;" ",CONCATENATE(A934,B934)," ")</f>
        <v/>
      </c>
      <c r="D934" s="69" t="n"/>
      <c r="E934" s="72" t="n"/>
      <c r="F934" s="72" t="n"/>
      <c r="G934" s="72" t="n"/>
      <c r="H934" s="72" t="n"/>
      <c r="I934" s="72" t="n"/>
      <c r="J934" s="71" t="n"/>
      <c r="K934" s="73" t="n"/>
    </row>
    <row r="935">
      <c r="A935" s="62" t="inlineStr">
        <is>
          <t>P</t>
        </is>
      </c>
      <c r="B935" s="60">
        <f>IF(D935&gt;1/1/2001,B934+1," ")</f>
        <v/>
      </c>
      <c r="C935" s="59">
        <f>IF(B935&lt;&gt;" ",CONCATENATE(A935,B935)," ")</f>
        <v/>
      </c>
      <c r="D935" s="69" t="n"/>
      <c r="E935" s="72" t="n"/>
      <c r="F935" s="72" t="n"/>
      <c r="G935" s="72" t="n"/>
      <c r="H935" s="72" t="n"/>
      <c r="I935" s="72" t="n"/>
      <c r="J935" s="71" t="n"/>
      <c r="K935" s="73" t="n"/>
    </row>
    <row r="936">
      <c r="A936" s="62" t="inlineStr">
        <is>
          <t>P</t>
        </is>
      </c>
      <c r="B936" s="60">
        <f>IF(D936&gt;1/1/2001,B935+1," ")</f>
        <v/>
      </c>
      <c r="C936" s="59">
        <f>IF(B936&lt;&gt;" ",CONCATENATE(A936,B936)," ")</f>
        <v/>
      </c>
      <c r="D936" s="69" t="n"/>
      <c r="E936" s="72" t="n"/>
      <c r="F936" s="72" t="n"/>
      <c r="G936" s="72" t="n"/>
      <c r="H936" s="72" t="n"/>
      <c r="I936" s="72" t="n"/>
      <c r="J936" s="71" t="n"/>
      <c r="K936" s="73" t="n"/>
    </row>
    <row r="937">
      <c r="A937" s="62" t="inlineStr">
        <is>
          <t>P</t>
        </is>
      </c>
      <c r="B937" s="60">
        <f>IF(D937&gt;1/1/2001,B936+1," ")</f>
        <v/>
      </c>
      <c r="C937" s="59">
        <f>IF(B937&lt;&gt;" ",CONCATENATE(A937,B937)," ")</f>
        <v/>
      </c>
      <c r="D937" s="69" t="n"/>
      <c r="E937" s="72" t="n"/>
      <c r="F937" s="72" t="n"/>
      <c r="G937" s="72" t="n"/>
      <c r="H937" s="72" t="n"/>
      <c r="I937" s="72" t="n"/>
      <c r="J937" s="71" t="n"/>
      <c r="K937" s="73" t="n"/>
    </row>
    <row r="938">
      <c r="A938" s="62" t="inlineStr">
        <is>
          <t>P</t>
        </is>
      </c>
      <c r="B938" s="60">
        <f>IF(D938&gt;1/1/2001,B937+1," ")</f>
        <v/>
      </c>
      <c r="C938" s="59">
        <f>IF(B938&lt;&gt;" ",CONCATENATE(A938,B938)," ")</f>
        <v/>
      </c>
      <c r="D938" s="69" t="n"/>
      <c r="E938" s="72" t="n"/>
      <c r="F938" s="72" t="n"/>
      <c r="G938" s="72" t="n"/>
      <c r="H938" s="72" t="n"/>
      <c r="I938" s="72" t="n"/>
      <c r="J938" s="71" t="n"/>
      <c r="K938" s="73" t="n"/>
    </row>
    <row r="939">
      <c r="A939" s="62" t="inlineStr">
        <is>
          <t>P</t>
        </is>
      </c>
      <c r="B939" s="60">
        <f>IF(D939&gt;1/1/2001,B938+1," ")</f>
        <v/>
      </c>
      <c r="C939" s="59">
        <f>IF(B939&lt;&gt;" ",CONCATENATE(A939,B939)," ")</f>
        <v/>
      </c>
      <c r="D939" s="69" t="n"/>
      <c r="E939" s="72" t="n"/>
      <c r="F939" s="72" t="n"/>
      <c r="G939" s="72" t="n"/>
      <c r="H939" s="72" t="n"/>
      <c r="I939" s="72" t="n"/>
      <c r="J939" s="71" t="n"/>
      <c r="K939" s="73" t="n"/>
    </row>
    <row r="940">
      <c r="A940" s="62" t="inlineStr">
        <is>
          <t>P</t>
        </is>
      </c>
      <c r="B940" s="60">
        <f>IF(D940&gt;1/1/2001,B939+1," ")</f>
        <v/>
      </c>
      <c r="C940" s="59">
        <f>IF(B940&lt;&gt;" ",CONCATENATE(A940,B940)," ")</f>
        <v/>
      </c>
      <c r="D940" s="69" t="n"/>
      <c r="E940" s="72" t="n"/>
      <c r="F940" s="72" t="n"/>
      <c r="G940" s="72" t="n"/>
      <c r="H940" s="72" t="n"/>
      <c r="I940" s="72" t="n"/>
      <c r="J940" s="71" t="n"/>
      <c r="K940" s="73" t="n"/>
    </row>
    <row r="941">
      <c r="A941" s="62" t="inlineStr">
        <is>
          <t>P</t>
        </is>
      </c>
      <c r="B941" s="60">
        <f>IF(D941&gt;1/1/2001,B940+1," ")</f>
        <v/>
      </c>
      <c r="C941" s="59">
        <f>IF(B941&lt;&gt;" ",CONCATENATE(A941,B941)," ")</f>
        <v/>
      </c>
      <c r="D941" s="69" t="n"/>
      <c r="E941" s="72" t="n"/>
      <c r="F941" s="72" t="n"/>
      <c r="G941" s="72" t="n"/>
      <c r="H941" s="72" t="n"/>
      <c r="I941" s="72" t="n"/>
      <c r="J941" s="71" t="n"/>
      <c r="K941" s="73" t="n"/>
    </row>
    <row r="942">
      <c r="A942" s="62" t="inlineStr">
        <is>
          <t>P</t>
        </is>
      </c>
      <c r="B942" s="60">
        <f>IF(D942&gt;1/1/2001,B941+1," ")</f>
        <v/>
      </c>
      <c r="C942" s="59">
        <f>IF(B942&lt;&gt;" ",CONCATENATE(A942,B942)," ")</f>
        <v/>
      </c>
      <c r="D942" s="69" t="n"/>
      <c r="E942" s="72" t="n"/>
      <c r="F942" s="72" t="n"/>
      <c r="G942" s="72" t="n"/>
      <c r="H942" s="72" t="n"/>
      <c r="I942" s="72" t="n"/>
      <c r="J942" s="71" t="n"/>
      <c r="K942" s="73" t="n"/>
    </row>
    <row r="943">
      <c r="A943" s="62" t="inlineStr">
        <is>
          <t>P</t>
        </is>
      </c>
      <c r="B943" s="60">
        <f>IF(D943&gt;1/1/2001,B942+1," ")</f>
        <v/>
      </c>
      <c r="C943" s="59">
        <f>IF(B943&lt;&gt;" ",CONCATENATE(A943,B943)," ")</f>
        <v/>
      </c>
      <c r="D943" s="69" t="n"/>
      <c r="E943" s="72" t="n"/>
      <c r="F943" s="72" t="n"/>
      <c r="G943" s="72" t="n"/>
      <c r="H943" s="72" t="n"/>
      <c r="I943" s="72" t="n"/>
      <c r="J943" s="71" t="n"/>
      <c r="K943" s="73" t="n"/>
    </row>
    <row r="944">
      <c r="A944" s="62" t="inlineStr">
        <is>
          <t>P</t>
        </is>
      </c>
      <c r="B944" s="60">
        <f>IF(D944&gt;1/1/2001,B943+1," ")</f>
        <v/>
      </c>
      <c r="C944" s="59">
        <f>IF(B944&lt;&gt;" ",CONCATENATE(A944,B944)," ")</f>
        <v/>
      </c>
      <c r="D944" s="69" t="n"/>
      <c r="E944" s="72" t="n"/>
      <c r="F944" s="72" t="n"/>
      <c r="G944" s="72" t="n"/>
      <c r="H944" s="72" t="n"/>
      <c r="I944" s="72" t="n"/>
      <c r="J944" s="71" t="n"/>
      <c r="K944" s="73" t="n"/>
    </row>
    <row r="945">
      <c r="A945" s="62" t="inlineStr">
        <is>
          <t>P</t>
        </is>
      </c>
      <c r="B945" s="60">
        <f>IF(D945&gt;1/1/2001,B944+1," ")</f>
        <v/>
      </c>
      <c r="C945" s="59">
        <f>IF(B945&lt;&gt;" ",CONCATENATE(A945,B945)," ")</f>
        <v/>
      </c>
      <c r="D945" s="69" t="n"/>
      <c r="E945" s="72" t="n"/>
      <c r="F945" s="72" t="n"/>
      <c r="G945" s="72" t="n"/>
      <c r="H945" s="72" t="n"/>
      <c r="I945" s="72" t="n"/>
      <c r="J945" s="71" t="n"/>
      <c r="K945" s="73" t="n"/>
    </row>
    <row r="946">
      <c r="A946" s="62" t="inlineStr">
        <is>
          <t>P</t>
        </is>
      </c>
      <c r="B946" s="60">
        <f>IF(D946&gt;1/1/2001,B945+1," ")</f>
        <v/>
      </c>
      <c r="C946" s="59">
        <f>IF(B946&lt;&gt;" ",CONCATENATE(A946,B946)," ")</f>
        <v/>
      </c>
      <c r="D946" s="69" t="n"/>
      <c r="E946" s="72" t="n"/>
      <c r="F946" s="72" t="n"/>
      <c r="G946" s="72" t="n"/>
      <c r="H946" s="72" t="n"/>
      <c r="I946" s="72" t="n"/>
      <c r="J946" s="71" t="n"/>
      <c r="K946" s="73" t="n"/>
    </row>
    <row r="947">
      <c r="A947" s="62" t="inlineStr">
        <is>
          <t>P</t>
        </is>
      </c>
      <c r="B947" s="60">
        <f>IF(D947&gt;1/1/2001,B946+1," ")</f>
        <v/>
      </c>
      <c r="C947" s="59">
        <f>IF(B947&lt;&gt;" ",CONCATENATE(A947,B947)," ")</f>
        <v/>
      </c>
      <c r="D947" s="69" t="n"/>
      <c r="E947" s="72" t="n"/>
      <c r="F947" s="72" t="n"/>
      <c r="G947" s="72" t="n"/>
      <c r="H947" s="72" t="n"/>
      <c r="I947" s="72" t="n"/>
      <c r="J947" s="71" t="n"/>
      <c r="K947" s="73" t="n"/>
    </row>
    <row r="948">
      <c r="A948" s="62" t="inlineStr">
        <is>
          <t>P</t>
        </is>
      </c>
      <c r="B948" s="60">
        <f>IF(D948&gt;1/1/2001,B947+1," ")</f>
        <v/>
      </c>
      <c r="C948" s="59">
        <f>IF(B948&lt;&gt;" ",CONCATENATE(A948,B948)," ")</f>
        <v/>
      </c>
      <c r="D948" s="69" t="n"/>
      <c r="E948" s="72" t="n"/>
      <c r="F948" s="72" t="n"/>
      <c r="G948" s="72" t="n"/>
      <c r="H948" s="72" t="n"/>
      <c r="I948" s="72" t="n"/>
      <c r="J948" s="71" t="n"/>
      <c r="K948" s="73" t="n"/>
    </row>
    <row r="949">
      <c r="A949" s="62" t="inlineStr">
        <is>
          <t>P</t>
        </is>
      </c>
      <c r="B949" s="60">
        <f>IF(D949&gt;1/1/2001,B948+1," ")</f>
        <v/>
      </c>
      <c r="C949" s="59">
        <f>IF(B949&lt;&gt;" ",CONCATENATE(A949,B949)," ")</f>
        <v/>
      </c>
      <c r="D949" s="69" t="n"/>
      <c r="E949" s="72" t="n"/>
      <c r="F949" s="72" t="n"/>
      <c r="G949" s="72" t="n"/>
      <c r="H949" s="72" t="n"/>
      <c r="I949" s="72" t="n"/>
      <c r="J949" s="71" t="n"/>
      <c r="K949" s="73" t="n"/>
    </row>
    <row r="950">
      <c r="A950" s="62" t="inlineStr">
        <is>
          <t>P</t>
        </is>
      </c>
      <c r="B950" s="60">
        <f>IF(D950&gt;1/1/2001,B949+1," ")</f>
        <v/>
      </c>
      <c r="C950" s="59">
        <f>IF(B950&lt;&gt;" ",CONCATENATE(A950,B950)," ")</f>
        <v/>
      </c>
      <c r="D950" s="69" t="n"/>
      <c r="E950" s="72" t="n"/>
      <c r="F950" s="72" t="n"/>
      <c r="G950" s="72" t="n"/>
      <c r="H950" s="72" t="n"/>
      <c r="I950" s="72" t="n"/>
      <c r="J950" s="71" t="n"/>
      <c r="K950" s="73" t="n"/>
    </row>
    <row r="951">
      <c r="A951" s="62" t="inlineStr">
        <is>
          <t>P</t>
        </is>
      </c>
      <c r="B951" s="60">
        <f>IF(D951&gt;1/1/2001,B950+1," ")</f>
        <v/>
      </c>
      <c r="C951" s="59">
        <f>IF(B951&lt;&gt;" ",CONCATENATE(A951,B951)," ")</f>
        <v/>
      </c>
      <c r="D951" s="69" t="n"/>
      <c r="E951" s="72" t="n"/>
      <c r="F951" s="72" t="n"/>
      <c r="G951" s="72" t="n"/>
      <c r="H951" s="72" t="n"/>
      <c r="I951" s="72" t="n"/>
      <c r="J951" s="71" t="n"/>
      <c r="K951" s="73" t="n"/>
    </row>
    <row r="952">
      <c r="A952" s="62" t="inlineStr">
        <is>
          <t>P</t>
        </is>
      </c>
      <c r="B952" s="60">
        <f>IF(D952&gt;1/1/2001,B951+1," ")</f>
        <v/>
      </c>
      <c r="C952" s="59">
        <f>IF(B952&lt;&gt;" ",CONCATENATE(A952,B952)," ")</f>
        <v/>
      </c>
      <c r="D952" s="69" t="n"/>
      <c r="E952" s="72" t="n"/>
      <c r="F952" s="72" t="n"/>
      <c r="G952" s="72" t="n"/>
      <c r="H952" s="72" t="n"/>
      <c r="I952" s="72" t="n"/>
      <c r="J952" s="71" t="n"/>
      <c r="K952" s="73" t="n"/>
    </row>
    <row r="953">
      <c r="A953" s="62" t="inlineStr">
        <is>
          <t>P</t>
        </is>
      </c>
      <c r="B953" s="60">
        <f>IF(D953&gt;1/1/2001,B952+1," ")</f>
        <v/>
      </c>
      <c r="C953" s="59">
        <f>IF(B953&lt;&gt;" ",CONCATENATE(A953,B953)," ")</f>
        <v/>
      </c>
      <c r="D953" s="69" t="n"/>
      <c r="E953" s="72" t="n"/>
      <c r="F953" s="72" t="n"/>
      <c r="G953" s="72" t="n"/>
      <c r="H953" s="72" t="n"/>
      <c r="I953" s="72" t="n"/>
      <c r="J953" s="71" t="n"/>
      <c r="K953" s="73" t="n"/>
    </row>
    <row r="954">
      <c r="A954" s="62" t="inlineStr">
        <is>
          <t>P</t>
        </is>
      </c>
      <c r="B954" s="60">
        <f>IF(D954&gt;1/1/2001,B953+1," ")</f>
        <v/>
      </c>
      <c r="C954" s="59">
        <f>IF(B954&lt;&gt;" ",CONCATENATE(A954,B954)," ")</f>
        <v/>
      </c>
      <c r="D954" s="69" t="n"/>
      <c r="E954" s="72" t="n"/>
      <c r="F954" s="72" t="n"/>
      <c r="G954" s="72" t="n"/>
      <c r="H954" s="72" t="n"/>
      <c r="I954" s="72" t="n"/>
      <c r="J954" s="71" t="n"/>
      <c r="K954" s="73" t="n"/>
    </row>
    <row r="955">
      <c r="A955" s="62" t="inlineStr">
        <is>
          <t>P</t>
        </is>
      </c>
      <c r="B955" s="60">
        <f>IF(D955&gt;1/1/2001,B954+1," ")</f>
        <v/>
      </c>
      <c r="C955" s="59">
        <f>IF(B955&lt;&gt;" ",CONCATENATE(A955,B955)," ")</f>
        <v/>
      </c>
      <c r="D955" s="69" t="n"/>
      <c r="E955" s="72" t="n"/>
      <c r="F955" s="72" t="n"/>
      <c r="G955" s="72" t="n"/>
      <c r="H955" s="72" t="n"/>
      <c r="I955" s="72" t="n"/>
      <c r="J955" s="71" t="n"/>
      <c r="K955" s="73" t="n"/>
    </row>
    <row r="956">
      <c r="A956" s="62" t="inlineStr">
        <is>
          <t>P</t>
        </is>
      </c>
      <c r="B956" s="60">
        <f>IF(D956&gt;1/1/2001,B955+1," ")</f>
        <v/>
      </c>
      <c r="C956" s="59">
        <f>IF(B956&lt;&gt;" ",CONCATENATE(A956,B956)," ")</f>
        <v/>
      </c>
      <c r="D956" s="69" t="n"/>
      <c r="E956" s="72" t="n"/>
      <c r="F956" s="72" t="n"/>
      <c r="G956" s="72" t="n"/>
      <c r="H956" s="72" t="n"/>
      <c r="I956" s="72" t="n"/>
      <c r="J956" s="71" t="n"/>
      <c r="K956" s="73" t="n"/>
    </row>
    <row r="957">
      <c r="A957" s="62" t="inlineStr">
        <is>
          <t>P</t>
        </is>
      </c>
      <c r="B957" s="60">
        <f>IF(D957&gt;1/1/2001,B956+1," ")</f>
        <v/>
      </c>
      <c r="C957" s="59">
        <f>IF(B957&lt;&gt;" ",CONCATENATE(A957,B957)," ")</f>
        <v/>
      </c>
      <c r="D957" s="69" t="n"/>
      <c r="E957" s="72" t="n"/>
      <c r="F957" s="72" t="n"/>
      <c r="G957" s="72" t="n"/>
      <c r="H957" s="72" t="n"/>
      <c r="I957" s="72" t="n"/>
      <c r="J957" s="71" t="n"/>
      <c r="K957" s="73" t="n"/>
    </row>
    <row r="958">
      <c r="A958" s="62" t="inlineStr">
        <is>
          <t>P</t>
        </is>
      </c>
      <c r="B958" s="60">
        <f>IF(D958&gt;1/1/2001,B957+1," ")</f>
        <v/>
      </c>
      <c r="C958" s="59">
        <f>IF(B958&lt;&gt;" ",CONCATENATE(A958,B958)," ")</f>
        <v/>
      </c>
      <c r="D958" s="69" t="n"/>
      <c r="E958" s="72" t="n"/>
      <c r="F958" s="72" t="n"/>
      <c r="G958" s="72" t="n"/>
      <c r="H958" s="72" t="n"/>
      <c r="I958" s="72" t="n"/>
      <c r="J958" s="71" t="n"/>
      <c r="K958" s="73" t="n"/>
    </row>
    <row r="959">
      <c r="A959" s="62" t="inlineStr">
        <is>
          <t>P</t>
        </is>
      </c>
      <c r="B959" s="60">
        <f>IF(D959&gt;1/1/2001,B958+1," ")</f>
        <v/>
      </c>
      <c r="C959" s="59">
        <f>IF(B959&lt;&gt;" ",CONCATENATE(A959,B959)," ")</f>
        <v/>
      </c>
      <c r="D959" s="69" t="n"/>
      <c r="E959" s="72" t="n"/>
      <c r="F959" s="72" t="n"/>
      <c r="G959" s="72" t="n"/>
      <c r="H959" s="72" t="n"/>
      <c r="I959" s="72" t="n"/>
      <c r="J959" s="71" t="n"/>
      <c r="K959" s="73" t="n"/>
    </row>
    <row r="960">
      <c r="A960" s="62" t="inlineStr">
        <is>
          <t>P</t>
        </is>
      </c>
      <c r="B960" s="60">
        <f>IF(D960&gt;1/1/2001,B959+1," ")</f>
        <v/>
      </c>
      <c r="C960" s="59">
        <f>IF(B960&lt;&gt;" ",CONCATENATE(A960,B960)," ")</f>
        <v/>
      </c>
      <c r="D960" s="69" t="n"/>
      <c r="E960" s="72" t="n"/>
      <c r="F960" s="72" t="n"/>
      <c r="G960" s="72" t="n"/>
      <c r="H960" s="72" t="n"/>
      <c r="I960" s="72" t="n"/>
      <c r="J960" s="71" t="n"/>
      <c r="K960" s="73" t="n"/>
    </row>
    <row r="961">
      <c r="A961" s="62" t="inlineStr">
        <is>
          <t>P</t>
        </is>
      </c>
      <c r="B961" s="60">
        <f>IF(D961&gt;1/1/2001,B960+1," ")</f>
        <v/>
      </c>
      <c r="C961" s="59">
        <f>IF(B961&lt;&gt;" ",CONCATENATE(A961,B961)," ")</f>
        <v/>
      </c>
      <c r="D961" s="69" t="n"/>
      <c r="E961" s="72" t="n"/>
      <c r="F961" s="72" t="n"/>
      <c r="G961" s="72" t="n"/>
      <c r="H961" s="72" t="n"/>
      <c r="I961" s="72" t="n"/>
      <c r="J961" s="71" t="n"/>
      <c r="K961" s="73" t="n"/>
    </row>
    <row r="962">
      <c r="A962" s="62" t="inlineStr">
        <is>
          <t>P</t>
        </is>
      </c>
      <c r="B962" s="60">
        <f>IF(D962&gt;1/1/2001,B961+1," ")</f>
        <v/>
      </c>
      <c r="C962" s="59">
        <f>IF(B962&lt;&gt;" ",CONCATENATE(A962,B962)," ")</f>
        <v/>
      </c>
      <c r="D962" s="69" t="n"/>
      <c r="E962" s="72" t="n"/>
      <c r="F962" s="72" t="n"/>
      <c r="G962" s="72" t="n"/>
      <c r="H962" s="72" t="n"/>
      <c r="I962" s="72" t="n"/>
      <c r="J962" s="71" t="n"/>
      <c r="K962" s="73" t="n"/>
    </row>
    <row r="963">
      <c r="A963" s="62" t="inlineStr">
        <is>
          <t>P</t>
        </is>
      </c>
      <c r="B963" s="60">
        <f>IF(D963&gt;1/1/2001,B962+1," ")</f>
        <v/>
      </c>
      <c r="C963" s="59">
        <f>IF(B963&lt;&gt;" ",CONCATENATE(A963,B963)," ")</f>
        <v/>
      </c>
      <c r="D963" s="69" t="n"/>
      <c r="E963" s="72" t="n"/>
      <c r="F963" s="72" t="n"/>
      <c r="G963" s="72" t="n"/>
      <c r="H963" s="72" t="n"/>
      <c r="I963" s="72" t="n"/>
      <c r="J963" s="71" t="n"/>
      <c r="K963" s="73" t="n"/>
    </row>
    <row r="964">
      <c r="A964" s="62" t="inlineStr">
        <is>
          <t>P</t>
        </is>
      </c>
      <c r="B964" s="60">
        <f>IF(D964&gt;1/1/2001,B963+1," ")</f>
        <v/>
      </c>
      <c r="C964" s="59">
        <f>IF(B964&lt;&gt;" ",CONCATENATE(A964,B964)," ")</f>
        <v/>
      </c>
      <c r="D964" s="69" t="n"/>
      <c r="E964" s="72" t="n"/>
      <c r="F964" s="72" t="n"/>
      <c r="G964" s="72" t="n"/>
      <c r="H964" s="72" t="n"/>
      <c r="I964" s="72" t="n"/>
      <c r="J964" s="71" t="n"/>
      <c r="K964" s="73" t="n"/>
    </row>
    <row r="965">
      <c r="A965" s="62" t="inlineStr">
        <is>
          <t>P</t>
        </is>
      </c>
      <c r="B965" s="60">
        <f>IF(D965&gt;1/1/2001,B964+1," ")</f>
        <v/>
      </c>
      <c r="C965" s="59">
        <f>IF(B965&lt;&gt;" ",CONCATENATE(A965,B965)," ")</f>
        <v/>
      </c>
      <c r="D965" s="69" t="n"/>
      <c r="E965" s="72" t="n"/>
      <c r="F965" s="72" t="n"/>
      <c r="G965" s="72" t="n"/>
      <c r="H965" s="72" t="n"/>
      <c r="I965" s="72" t="n"/>
      <c r="J965" s="71" t="n"/>
      <c r="K965" s="73" t="n"/>
    </row>
    <row r="966">
      <c r="A966" s="62" t="inlineStr">
        <is>
          <t>P</t>
        </is>
      </c>
      <c r="B966" s="60">
        <f>IF(D966&gt;1/1/2001,B965+1," ")</f>
        <v/>
      </c>
      <c r="C966" s="59">
        <f>IF(B966&lt;&gt;" ",CONCATENATE(A966,B966)," ")</f>
        <v/>
      </c>
      <c r="D966" s="69" t="n"/>
      <c r="E966" s="72" t="n"/>
      <c r="F966" s="72" t="n"/>
      <c r="G966" s="72" t="n"/>
      <c r="H966" s="72" t="n"/>
      <c r="I966" s="72" t="n"/>
      <c r="J966" s="71" t="n"/>
      <c r="K966" s="73" t="n"/>
    </row>
    <row r="967">
      <c r="A967" s="62" t="inlineStr">
        <is>
          <t>P</t>
        </is>
      </c>
      <c r="B967" s="60">
        <f>IF(D967&gt;1/1/2001,B966+1," ")</f>
        <v/>
      </c>
      <c r="C967" s="59">
        <f>IF(B967&lt;&gt;" ",CONCATENATE(A967,B967)," ")</f>
        <v/>
      </c>
      <c r="D967" s="69" t="n"/>
      <c r="E967" s="72" t="n"/>
      <c r="F967" s="72" t="n"/>
      <c r="G967" s="72" t="n"/>
      <c r="H967" s="72" t="n"/>
      <c r="I967" s="72" t="n"/>
      <c r="J967" s="71" t="n"/>
      <c r="K967" s="73" t="n"/>
    </row>
    <row r="968">
      <c r="A968" s="62" t="inlineStr">
        <is>
          <t>P</t>
        </is>
      </c>
      <c r="B968" s="60">
        <f>IF(D968&gt;1/1/2001,B967+1," ")</f>
        <v/>
      </c>
      <c r="C968" s="59">
        <f>IF(B968&lt;&gt;" ",CONCATENATE(A968,B968)," ")</f>
        <v/>
      </c>
      <c r="D968" s="69" t="n"/>
      <c r="E968" s="72" t="n"/>
      <c r="F968" s="72" t="n"/>
      <c r="G968" s="72" t="n"/>
      <c r="H968" s="72" t="n"/>
      <c r="I968" s="72" t="n"/>
      <c r="J968" s="71" t="n"/>
      <c r="K968" s="73" t="n"/>
    </row>
    <row r="969">
      <c r="A969" s="62" t="inlineStr">
        <is>
          <t>P</t>
        </is>
      </c>
      <c r="B969" s="60">
        <f>IF(D969&gt;1/1/2001,B968+1," ")</f>
        <v/>
      </c>
      <c r="C969" s="59">
        <f>IF(B969&lt;&gt;" ",CONCATENATE(A969,B969)," ")</f>
        <v/>
      </c>
      <c r="D969" s="69" t="n"/>
      <c r="E969" s="72" t="n"/>
      <c r="F969" s="72" t="n"/>
      <c r="G969" s="72" t="n"/>
      <c r="H969" s="72" t="n"/>
      <c r="I969" s="72" t="n"/>
      <c r="J969" s="71" t="n"/>
      <c r="K969" s="73" t="n"/>
    </row>
    <row r="970">
      <c r="A970" s="62" t="inlineStr">
        <is>
          <t>P</t>
        </is>
      </c>
      <c r="B970" s="60">
        <f>IF(D970&gt;1/1/2001,B969+1," ")</f>
        <v/>
      </c>
      <c r="C970" s="59">
        <f>IF(B970&lt;&gt;" ",CONCATENATE(A970,B970)," ")</f>
        <v/>
      </c>
      <c r="D970" s="69" t="n"/>
      <c r="E970" s="72" t="n"/>
      <c r="F970" s="72" t="n"/>
      <c r="G970" s="72" t="n"/>
      <c r="H970" s="72" t="n"/>
      <c r="I970" s="72" t="n"/>
      <c r="J970" s="71" t="n"/>
      <c r="K970" s="73" t="n"/>
    </row>
    <row r="971">
      <c r="A971" s="62" t="inlineStr">
        <is>
          <t>P</t>
        </is>
      </c>
      <c r="B971" s="60">
        <f>IF(D971&gt;1/1/2001,B970+1," ")</f>
        <v/>
      </c>
      <c r="C971" s="59">
        <f>IF(B971&lt;&gt;" ",CONCATENATE(A971,B971)," ")</f>
        <v/>
      </c>
      <c r="D971" s="69" t="n"/>
      <c r="E971" s="72" t="n"/>
      <c r="F971" s="72" t="n"/>
      <c r="G971" s="72" t="n"/>
      <c r="H971" s="72" t="n"/>
      <c r="I971" s="72" t="n"/>
      <c r="J971" s="71" t="n"/>
      <c r="K971" s="73" t="n"/>
    </row>
    <row r="972">
      <c r="A972" s="62" t="inlineStr">
        <is>
          <t>P</t>
        </is>
      </c>
      <c r="B972" s="60">
        <f>IF(D972&gt;1/1/2001,B971+1," ")</f>
        <v/>
      </c>
      <c r="C972" s="59">
        <f>IF(B972&lt;&gt;" ",CONCATENATE(A972,B972)," ")</f>
        <v/>
      </c>
      <c r="D972" s="69" t="n"/>
      <c r="E972" s="72" t="n"/>
      <c r="F972" s="72" t="n"/>
      <c r="G972" s="72" t="n"/>
      <c r="H972" s="72" t="n"/>
      <c r="I972" s="72" t="n"/>
      <c r="J972" s="71" t="n"/>
      <c r="K972" s="73" t="n"/>
    </row>
    <row r="973">
      <c r="A973" s="62" t="inlineStr">
        <is>
          <t>P</t>
        </is>
      </c>
      <c r="B973" s="60">
        <f>IF(D973&gt;1/1/2001,B972+1," ")</f>
        <v/>
      </c>
      <c r="C973" s="59">
        <f>IF(B973&lt;&gt;" ",CONCATENATE(A973,B973)," ")</f>
        <v/>
      </c>
      <c r="D973" s="69" t="n"/>
      <c r="E973" s="72" t="n"/>
      <c r="F973" s="72" t="n"/>
      <c r="G973" s="72" t="n"/>
      <c r="H973" s="72" t="n"/>
      <c r="I973" s="72" t="n"/>
      <c r="J973" s="71" t="n"/>
      <c r="K973" s="73" t="n"/>
    </row>
    <row r="974">
      <c r="A974" s="62" t="inlineStr">
        <is>
          <t>P</t>
        </is>
      </c>
      <c r="B974" s="60">
        <f>IF(D974&gt;1/1/2001,B973+1," ")</f>
        <v/>
      </c>
      <c r="C974" s="59">
        <f>IF(B974&lt;&gt;" ",CONCATENATE(A974,B974)," ")</f>
        <v/>
      </c>
      <c r="D974" s="69" t="n"/>
      <c r="E974" s="72" t="n"/>
      <c r="F974" s="72" t="n"/>
      <c r="G974" s="72" t="n"/>
      <c r="H974" s="72" t="n"/>
      <c r="I974" s="72" t="n"/>
      <c r="J974" s="71" t="n"/>
      <c r="K974" s="73" t="n"/>
    </row>
    <row r="975">
      <c r="A975" s="62" t="inlineStr">
        <is>
          <t>P</t>
        </is>
      </c>
      <c r="B975" s="60">
        <f>IF(D975&gt;1/1/2001,B974+1," ")</f>
        <v/>
      </c>
      <c r="C975" s="59">
        <f>IF(B975&lt;&gt;" ",CONCATENATE(A975,B975)," ")</f>
        <v/>
      </c>
      <c r="D975" s="69" t="n"/>
      <c r="E975" s="72" t="n"/>
      <c r="F975" s="72" t="n"/>
      <c r="G975" s="72" t="n"/>
      <c r="H975" s="72" t="n"/>
      <c r="I975" s="72" t="n"/>
      <c r="J975" s="71" t="n"/>
      <c r="K975" s="73" t="n"/>
    </row>
    <row r="976">
      <c r="A976" s="62" t="inlineStr">
        <is>
          <t>P</t>
        </is>
      </c>
      <c r="B976" s="60">
        <f>IF(D976&gt;1/1/2001,B975+1," ")</f>
        <v/>
      </c>
      <c r="C976" s="59">
        <f>IF(B976&lt;&gt;" ",CONCATENATE(A976,B976)," ")</f>
        <v/>
      </c>
      <c r="D976" s="69" t="n"/>
      <c r="E976" s="72" t="n"/>
      <c r="F976" s="72" t="n"/>
      <c r="G976" s="72" t="n"/>
      <c r="H976" s="72" t="n"/>
      <c r="I976" s="72" t="n"/>
      <c r="J976" s="71" t="n"/>
      <c r="K976" s="73" t="n"/>
    </row>
    <row r="977">
      <c r="A977" s="62" t="inlineStr">
        <is>
          <t>P</t>
        </is>
      </c>
      <c r="B977" s="60">
        <f>IF(D977&gt;1/1/2001,B976+1," ")</f>
        <v/>
      </c>
      <c r="C977" s="59">
        <f>IF(B977&lt;&gt;" ",CONCATENATE(A977,B977)," ")</f>
        <v/>
      </c>
      <c r="D977" s="69" t="n"/>
      <c r="E977" s="72" t="n"/>
      <c r="F977" s="72" t="n"/>
      <c r="G977" s="72" t="n"/>
      <c r="H977" s="72" t="n"/>
      <c r="I977" s="72" t="n"/>
      <c r="J977" s="71" t="n"/>
      <c r="K977" s="73" t="n"/>
    </row>
    <row r="978">
      <c r="A978" s="62" t="inlineStr">
        <is>
          <t>P</t>
        </is>
      </c>
      <c r="B978" s="60">
        <f>IF(D978&gt;1/1/2001,B977+1," ")</f>
        <v/>
      </c>
      <c r="C978" s="59">
        <f>IF(B978&lt;&gt;" ",CONCATENATE(A978,B978)," ")</f>
        <v/>
      </c>
      <c r="D978" s="69" t="n"/>
      <c r="E978" s="72" t="n"/>
      <c r="F978" s="72" t="n"/>
      <c r="G978" s="72" t="n"/>
      <c r="H978" s="72" t="n"/>
      <c r="I978" s="72" t="n"/>
      <c r="J978" s="71" t="n"/>
      <c r="K978" s="73" t="n"/>
    </row>
    <row r="979">
      <c r="A979" s="62" t="inlineStr">
        <is>
          <t>P</t>
        </is>
      </c>
      <c r="B979" s="60">
        <f>IF(D979&gt;1/1/2001,B978+1," ")</f>
        <v/>
      </c>
      <c r="C979" s="59">
        <f>IF(B979&lt;&gt;" ",CONCATENATE(A979,B979)," ")</f>
        <v/>
      </c>
      <c r="D979" s="69" t="n"/>
      <c r="E979" s="72" t="n"/>
      <c r="F979" s="72" t="n"/>
      <c r="G979" s="72" t="n"/>
      <c r="H979" s="72" t="n"/>
      <c r="I979" s="72" t="n"/>
      <c r="J979" s="71" t="n"/>
      <c r="K979" s="73" t="n"/>
    </row>
    <row r="980">
      <c r="A980" s="62" t="inlineStr">
        <is>
          <t>P</t>
        </is>
      </c>
      <c r="B980" s="60">
        <f>IF(D980&gt;1/1/2001,B979+1," ")</f>
        <v/>
      </c>
      <c r="C980" s="59">
        <f>IF(B980&lt;&gt;" ",CONCATENATE(A980,B980)," ")</f>
        <v/>
      </c>
      <c r="D980" s="69" t="n"/>
      <c r="E980" s="72" t="n"/>
      <c r="F980" s="72" t="n"/>
      <c r="G980" s="72" t="n"/>
      <c r="H980" s="72" t="n"/>
      <c r="I980" s="72" t="n"/>
      <c r="J980" s="71" t="n"/>
      <c r="K980" s="73" t="n"/>
    </row>
    <row r="981">
      <c r="A981" s="62" t="inlineStr">
        <is>
          <t>P</t>
        </is>
      </c>
      <c r="B981" s="60">
        <f>IF(D981&gt;1/1/2001,B980+1," ")</f>
        <v/>
      </c>
      <c r="C981" s="59">
        <f>IF(B981&lt;&gt;" ",CONCATENATE(A981,B981)," ")</f>
        <v/>
      </c>
      <c r="D981" s="69" t="n"/>
      <c r="E981" s="72" t="n"/>
      <c r="F981" s="72" t="n"/>
      <c r="G981" s="72" t="n"/>
      <c r="H981" s="72" t="n"/>
      <c r="I981" s="72" t="n"/>
      <c r="J981" s="71" t="n"/>
      <c r="K981" s="73" t="n"/>
    </row>
    <row r="982">
      <c r="A982" s="62" t="inlineStr">
        <is>
          <t>P</t>
        </is>
      </c>
      <c r="B982" s="60">
        <f>IF(D982&gt;1/1/2001,B981+1," ")</f>
        <v/>
      </c>
      <c r="C982" s="59">
        <f>IF(B982&lt;&gt;" ",CONCATENATE(A982,B982)," ")</f>
        <v/>
      </c>
      <c r="D982" s="69" t="n"/>
      <c r="E982" s="72" t="n"/>
      <c r="F982" s="72" t="n"/>
      <c r="G982" s="72" t="n"/>
      <c r="H982" s="72" t="n"/>
      <c r="I982" s="72" t="n"/>
      <c r="J982" s="71" t="n"/>
      <c r="K982" s="73" t="n"/>
    </row>
    <row r="983">
      <c r="A983" s="62" t="inlineStr">
        <is>
          <t>P</t>
        </is>
      </c>
      <c r="B983" s="60">
        <f>IF(D983&gt;1/1/2001,B982+1," ")</f>
        <v/>
      </c>
      <c r="C983" s="59">
        <f>IF(B983&lt;&gt;" ",CONCATENATE(A983,B983)," ")</f>
        <v/>
      </c>
      <c r="D983" s="69" t="n"/>
      <c r="E983" s="72" t="n"/>
      <c r="F983" s="72" t="n"/>
      <c r="G983" s="72" t="n"/>
      <c r="H983" s="72" t="n"/>
      <c r="I983" s="72" t="n"/>
      <c r="J983" s="71" t="n"/>
      <c r="K983" s="73" t="n"/>
    </row>
    <row r="984">
      <c r="A984" s="62" t="inlineStr">
        <is>
          <t>P</t>
        </is>
      </c>
      <c r="B984" s="60">
        <f>IF(D984&gt;1/1/2001,B983+1," ")</f>
        <v/>
      </c>
      <c r="C984" s="59">
        <f>IF(B984&lt;&gt;" ",CONCATENATE(A984,B984)," ")</f>
        <v/>
      </c>
      <c r="D984" s="69" t="n"/>
      <c r="E984" s="72" t="n"/>
      <c r="F984" s="72" t="n"/>
      <c r="G984" s="72" t="n"/>
      <c r="H984" s="72" t="n"/>
      <c r="I984" s="72" t="n"/>
      <c r="J984" s="71" t="n"/>
      <c r="K984" s="73" t="n"/>
    </row>
    <row r="985">
      <c r="A985" s="62" t="inlineStr">
        <is>
          <t>P</t>
        </is>
      </c>
      <c r="B985" s="60">
        <f>IF(D985&gt;1/1/2001,B984+1," ")</f>
        <v/>
      </c>
      <c r="C985" s="59">
        <f>IF(B985&lt;&gt;" ",CONCATENATE(A985,B985)," ")</f>
        <v/>
      </c>
      <c r="D985" s="69" t="n"/>
      <c r="E985" s="72" t="n"/>
      <c r="F985" s="72" t="n"/>
      <c r="G985" s="72" t="n"/>
      <c r="H985" s="72" t="n"/>
      <c r="I985" s="72" t="n"/>
      <c r="J985" s="71" t="n"/>
      <c r="K985" s="73" t="n"/>
    </row>
    <row r="986">
      <c r="A986" s="62" t="inlineStr">
        <is>
          <t>P</t>
        </is>
      </c>
      <c r="B986" s="60">
        <f>IF(D986&gt;1/1/2001,B985+1," ")</f>
        <v/>
      </c>
      <c r="C986" s="59">
        <f>IF(B986&lt;&gt;" ",CONCATENATE(A986,B986)," ")</f>
        <v/>
      </c>
      <c r="D986" s="69" t="n"/>
      <c r="E986" s="72" t="n"/>
      <c r="F986" s="72" t="n"/>
      <c r="G986" s="72" t="n"/>
      <c r="H986" s="72" t="n"/>
      <c r="I986" s="72" t="n"/>
      <c r="J986" s="71" t="n"/>
      <c r="K986" s="73" t="n"/>
    </row>
    <row r="987">
      <c r="A987" s="62" t="inlineStr">
        <is>
          <t>P</t>
        </is>
      </c>
      <c r="B987" s="60">
        <f>IF(D987&gt;1/1/2001,B986+1," ")</f>
        <v/>
      </c>
      <c r="C987" s="59">
        <f>IF(B987&lt;&gt;" ",CONCATENATE(A987,B987)," ")</f>
        <v/>
      </c>
      <c r="D987" s="69" t="n"/>
      <c r="E987" s="72" t="n"/>
      <c r="F987" s="72" t="n"/>
      <c r="G987" s="72" t="n"/>
      <c r="H987" s="72" t="n"/>
      <c r="I987" s="72" t="n"/>
      <c r="J987" s="71" t="n"/>
      <c r="K987" s="73" t="n"/>
    </row>
    <row r="988">
      <c r="A988" s="62" t="inlineStr">
        <is>
          <t>P</t>
        </is>
      </c>
      <c r="B988" s="60">
        <f>IF(D988&gt;1/1/2001,B987+1," ")</f>
        <v/>
      </c>
      <c r="C988" s="59">
        <f>IF(B988&lt;&gt;" ",CONCATENATE(A988,B988)," ")</f>
        <v/>
      </c>
      <c r="D988" s="69" t="n"/>
      <c r="E988" s="72" t="n"/>
      <c r="F988" s="72" t="n"/>
      <c r="G988" s="72" t="n"/>
      <c r="H988" s="72" t="n"/>
      <c r="I988" s="72" t="n"/>
      <c r="J988" s="71" t="n"/>
      <c r="K988" s="73" t="n"/>
    </row>
    <row r="989">
      <c r="A989" s="62" t="inlineStr">
        <is>
          <t>P</t>
        </is>
      </c>
      <c r="B989" s="60">
        <f>IF(D989&gt;1/1/2001,B988+1," ")</f>
        <v/>
      </c>
      <c r="C989" s="59">
        <f>IF(B989&lt;&gt;" ",CONCATENATE(A989,B989)," ")</f>
        <v/>
      </c>
      <c r="D989" s="69" t="n"/>
      <c r="E989" s="72" t="n"/>
      <c r="F989" s="72" t="n"/>
      <c r="G989" s="72" t="n"/>
      <c r="H989" s="72" t="n"/>
      <c r="I989" s="72" t="n"/>
      <c r="J989" s="71" t="n"/>
      <c r="K989" s="73" t="n"/>
    </row>
    <row r="990">
      <c r="A990" s="62" t="inlineStr">
        <is>
          <t>P</t>
        </is>
      </c>
      <c r="B990" s="60">
        <f>IF(D990&gt;1/1/2001,B989+1," ")</f>
        <v/>
      </c>
      <c r="C990" s="59">
        <f>IF(B990&lt;&gt;" ",CONCATENATE(A990,B990)," ")</f>
        <v/>
      </c>
      <c r="D990" s="69" t="n"/>
      <c r="E990" s="72" t="n"/>
      <c r="F990" s="72" t="n"/>
      <c r="G990" s="72" t="n"/>
      <c r="H990" s="72" t="n"/>
      <c r="I990" s="72" t="n"/>
      <c r="J990" s="71" t="n"/>
      <c r="K990" s="73" t="n"/>
    </row>
    <row r="991">
      <c r="A991" s="62" t="inlineStr">
        <is>
          <t>P</t>
        </is>
      </c>
      <c r="B991" s="60">
        <f>IF(D991&gt;1/1/2001,B990+1," ")</f>
        <v/>
      </c>
      <c r="C991" s="59">
        <f>IF(B991&lt;&gt;" ",CONCATENATE(A991,B991)," ")</f>
        <v/>
      </c>
      <c r="D991" s="69" t="n"/>
      <c r="E991" s="72" t="n"/>
      <c r="F991" s="72" t="n"/>
      <c r="G991" s="72" t="n"/>
      <c r="H991" s="72" t="n"/>
      <c r="I991" s="72" t="n"/>
      <c r="J991" s="71" t="n"/>
      <c r="K991" s="73" t="n"/>
    </row>
    <row r="992">
      <c r="A992" s="62" t="inlineStr">
        <is>
          <t>P</t>
        </is>
      </c>
      <c r="B992" s="60">
        <f>IF(D992&gt;1/1/2001,B991+1," ")</f>
        <v/>
      </c>
      <c r="C992" s="59">
        <f>IF(B992&lt;&gt;" ",CONCATENATE(A992,B992)," ")</f>
        <v/>
      </c>
      <c r="D992" s="69" t="n"/>
      <c r="E992" s="72" t="n"/>
      <c r="F992" s="72" t="n"/>
      <c r="G992" s="72" t="n"/>
      <c r="H992" s="72" t="n"/>
      <c r="I992" s="72" t="n"/>
      <c r="J992" s="71" t="n"/>
      <c r="K992" s="73" t="n"/>
    </row>
    <row r="993">
      <c r="A993" s="62" t="inlineStr">
        <is>
          <t>P</t>
        </is>
      </c>
      <c r="B993" s="60">
        <f>IF(D993&gt;1/1/2001,B992+1," ")</f>
        <v/>
      </c>
      <c r="C993" s="59">
        <f>IF(B993&lt;&gt;" ",CONCATENATE(A993,B993)," ")</f>
        <v/>
      </c>
      <c r="D993" s="69" t="n"/>
      <c r="E993" s="72" t="n"/>
      <c r="F993" s="72" t="n"/>
      <c r="G993" s="72" t="n"/>
      <c r="H993" s="72" t="n"/>
      <c r="I993" s="72" t="n"/>
      <c r="J993" s="71" t="n"/>
      <c r="K993" s="73" t="n"/>
    </row>
    <row r="994">
      <c r="A994" s="62" t="inlineStr">
        <is>
          <t>P</t>
        </is>
      </c>
      <c r="B994" s="60">
        <f>IF(D994&gt;1/1/2001,B993+1," ")</f>
        <v/>
      </c>
      <c r="C994" s="59">
        <f>IF(B994&lt;&gt;" ",CONCATENATE(A994,B994)," ")</f>
        <v/>
      </c>
      <c r="D994" s="69" t="n"/>
      <c r="E994" s="72" t="n"/>
      <c r="F994" s="72" t="n"/>
      <c r="G994" s="72" t="n"/>
      <c r="H994" s="72" t="n"/>
      <c r="I994" s="72" t="n"/>
      <c r="J994" s="71" t="n"/>
      <c r="K994" s="73" t="n"/>
    </row>
    <row r="995">
      <c r="A995" s="62" t="inlineStr">
        <is>
          <t>P</t>
        </is>
      </c>
      <c r="B995" s="60">
        <f>IF(D995&gt;1/1/2001,B994+1," ")</f>
        <v/>
      </c>
      <c r="C995" s="59">
        <f>IF(B995&lt;&gt;" ",CONCATENATE(A995,B995)," ")</f>
        <v/>
      </c>
      <c r="D995" s="69" t="n"/>
      <c r="E995" s="72" t="n"/>
      <c r="F995" s="72" t="n"/>
      <c r="G995" s="72" t="n"/>
      <c r="H995" s="72" t="n"/>
      <c r="I995" s="72" t="n"/>
      <c r="J995" s="71" t="n"/>
      <c r="K995" s="73" t="n"/>
    </row>
    <row r="996">
      <c r="A996" s="62" t="inlineStr">
        <is>
          <t>P</t>
        </is>
      </c>
      <c r="B996" s="60">
        <f>IF(D996&gt;1/1/2001,B995+1," ")</f>
        <v/>
      </c>
      <c r="C996" s="59">
        <f>IF(B996&lt;&gt;" ",CONCATENATE(A996,B996)," ")</f>
        <v/>
      </c>
      <c r="D996" s="69" t="n"/>
      <c r="E996" s="72" t="n"/>
      <c r="F996" s="72" t="n"/>
      <c r="G996" s="72" t="n"/>
      <c r="H996" s="72" t="n"/>
      <c r="I996" s="72" t="n"/>
      <c r="J996" s="71" t="n"/>
      <c r="K996" s="73" t="n"/>
    </row>
    <row r="997">
      <c r="A997" s="62" t="inlineStr">
        <is>
          <t>P</t>
        </is>
      </c>
      <c r="B997" s="60">
        <f>IF(D997&gt;1/1/2001,B996+1," ")</f>
        <v/>
      </c>
      <c r="C997" s="59">
        <f>IF(B997&lt;&gt;" ",CONCATENATE(A997,B997)," ")</f>
        <v/>
      </c>
      <c r="D997" s="69" t="n"/>
      <c r="E997" s="72" t="n"/>
      <c r="F997" s="72" t="n"/>
      <c r="G997" s="72" t="n"/>
      <c r="H997" s="72" t="n"/>
      <c r="I997" s="72" t="n"/>
      <c r="J997" s="71" t="n"/>
      <c r="K997" s="73" t="n"/>
    </row>
    <row r="998">
      <c r="A998" s="62" t="inlineStr">
        <is>
          <t>P</t>
        </is>
      </c>
      <c r="B998" s="60">
        <f>IF(D998&gt;1/1/2001,B997+1," ")</f>
        <v/>
      </c>
      <c r="C998" s="59">
        <f>IF(B998&lt;&gt;" ",CONCATENATE(A998,B998)," ")</f>
        <v/>
      </c>
      <c r="D998" s="69" t="n"/>
      <c r="E998" s="72" t="n"/>
      <c r="F998" s="72" t="n"/>
      <c r="G998" s="72" t="n"/>
      <c r="H998" s="72" t="n"/>
      <c r="I998" s="72" t="n"/>
      <c r="J998" s="71" t="n"/>
      <c r="K998" s="73" t="n"/>
    </row>
    <row r="999">
      <c r="A999" s="62" t="inlineStr">
        <is>
          <t>P</t>
        </is>
      </c>
      <c r="B999" s="60">
        <f>IF(D999&gt;1/1/2001,B998+1," ")</f>
        <v/>
      </c>
      <c r="C999" s="59">
        <f>IF(B999&lt;&gt;" ",CONCATENATE(A999,B999)," ")</f>
        <v/>
      </c>
      <c r="D999" s="69" t="n"/>
      <c r="E999" s="72" t="n"/>
      <c r="F999" s="72" t="n"/>
      <c r="G999" s="72" t="n"/>
      <c r="H999" s="72" t="n"/>
      <c r="I999" s="72" t="n"/>
      <c r="J999" s="71" t="n"/>
      <c r="K999" s="73" t="n"/>
    </row>
    <row r="1000">
      <c r="A1000" s="62" t="inlineStr">
        <is>
          <t>P</t>
        </is>
      </c>
      <c r="B1000" s="60">
        <f>IF(D1000&gt;1/1/2001,B999+1," ")</f>
        <v/>
      </c>
      <c r="C1000" s="59">
        <f>IF(B1000&lt;&gt;" ",CONCATENATE(A1000,B1000)," ")</f>
        <v/>
      </c>
      <c r="D1000" s="69" t="n"/>
      <c r="E1000" s="72" t="n"/>
      <c r="F1000" s="72" t="n"/>
      <c r="G1000" s="72" t="n"/>
      <c r="H1000" s="72" t="n"/>
      <c r="I1000" s="72" t="n"/>
      <c r="J1000" s="71" t="n"/>
      <c r="K1000" s="73" t="n"/>
    </row>
    <row r="1001">
      <c r="A1001" s="62" t="inlineStr">
        <is>
          <t>P</t>
        </is>
      </c>
      <c r="B1001" s="60">
        <f>IF(D1001&gt;1/1/2001,B1000+1," ")</f>
        <v/>
      </c>
      <c r="C1001" s="59">
        <f>IF(B1001&lt;&gt;" ",CONCATENATE(A1001,B1001)," ")</f>
        <v/>
      </c>
      <c r="D1001" s="69" t="n"/>
      <c r="E1001" s="72" t="n"/>
      <c r="F1001" s="72" t="n"/>
      <c r="G1001" s="72" t="n"/>
      <c r="H1001" s="72" t="n"/>
      <c r="I1001" s="72" t="n"/>
      <c r="J1001" s="71" t="n"/>
      <c r="K1001" s="73" t="n"/>
    </row>
    <row r="1002">
      <c r="A1002" s="62" t="inlineStr">
        <is>
          <t>P</t>
        </is>
      </c>
      <c r="B1002" s="60">
        <f>IF(D1002&gt;1/1/2001,B1001+1," ")</f>
        <v/>
      </c>
      <c r="C1002" s="59">
        <f>IF(B1002&lt;&gt;" ",CONCATENATE(A1002,B1002)," ")</f>
        <v/>
      </c>
      <c r="D1002" s="69" t="n"/>
      <c r="E1002" s="72" t="n"/>
      <c r="F1002" s="72" t="n"/>
      <c r="G1002" s="72" t="n"/>
      <c r="H1002" s="72" t="n"/>
      <c r="I1002" s="72" t="n"/>
      <c r="J1002" s="71" t="n"/>
      <c r="K1002" s="73" t="n"/>
    </row>
    <row r="1003">
      <c r="A1003" s="62" t="inlineStr">
        <is>
          <t>P</t>
        </is>
      </c>
      <c r="B1003" s="60">
        <f>IF(D1003&gt;1/1/2001,B1002+1," ")</f>
        <v/>
      </c>
      <c r="C1003" s="59">
        <f>IF(B1003&lt;&gt;" ",CONCATENATE(A1003,B1003)," ")</f>
        <v/>
      </c>
      <c r="D1003" s="69" t="n"/>
      <c r="E1003" s="72" t="n"/>
      <c r="F1003" s="72" t="n"/>
      <c r="G1003" s="72" t="n"/>
      <c r="H1003" s="72" t="n"/>
      <c r="I1003" s="72" t="n"/>
      <c r="J1003" s="71" t="n"/>
      <c r="K1003" s="73" t="n"/>
    </row>
    <row r="1004">
      <c r="A1004" s="62" t="inlineStr">
        <is>
          <t>P</t>
        </is>
      </c>
      <c r="B1004" s="60">
        <f>IF(D1004&gt;1/1/2001,B1003+1," ")</f>
        <v/>
      </c>
      <c r="C1004" s="59">
        <f>IF(B1004&lt;&gt;" ",CONCATENATE(A1004,B1004)," ")</f>
        <v/>
      </c>
      <c r="D1004" s="69" t="n"/>
      <c r="E1004" s="72" t="n"/>
      <c r="F1004" s="72" t="n"/>
      <c r="G1004" s="72" t="n"/>
      <c r="H1004" s="72" t="n"/>
      <c r="I1004" s="72" t="n"/>
      <c r="J1004" s="71" t="n"/>
      <c r="K1004" s="73" t="n"/>
    </row>
    <row r="1005">
      <c r="A1005" s="62" t="inlineStr">
        <is>
          <t>P</t>
        </is>
      </c>
      <c r="B1005" s="60">
        <f>IF(D1005&gt;1/1/2001,B1004+1," ")</f>
        <v/>
      </c>
      <c r="C1005" s="59">
        <f>IF(B1005&lt;&gt;" ",CONCATENATE(A1005,B1005)," ")</f>
        <v/>
      </c>
      <c r="D1005" s="69" t="n"/>
      <c r="E1005" s="72" t="n"/>
      <c r="F1005" s="72" t="n"/>
      <c r="G1005" s="72" t="n"/>
      <c r="H1005" s="72" t="n"/>
      <c r="I1005" s="72" t="n"/>
      <c r="J1005" s="71" t="n"/>
      <c r="K1005" s="73" t="n"/>
    </row>
    <row r="1006">
      <c r="A1006" s="62" t="inlineStr">
        <is>
          <t>P</t>
        </is>
      </c>
      <c r="B1006" s="60">
        <f>IF(D1006&gt;1/1/2001,B1005+1," ")</f>
        <v/>
      </c>
      <c r="C1006" s="59">
        <f>IF(B1006&lt;&gt;" ",CONCATENATE(A1006,B1006)," ")</f>
        <v/>
      </c>
      <c r="D1006" s="69" t="n"/>
      <c r="E1006" s="72" t="n"/>
      <c r="F1006" s="72" t="n"/>
      <c r="G1006" s="72" t="n"/>
      <c r="H1006" s="72" t="n"/>
      <c r="I1006" s="72" t="n"/>
      <c r="J1006" s="71" t="n"/>
      <c r="K1006" s="73" t="n"/>
    </row>
    <row r="1007">
      <c r="A1007" s="62" t="inlineStr">
        <is>
          <t>P</t>
        </is>
      </c>
      <c r="B1007" s="60">
        <f>IF(D1007&gt;1/1/2001,B1006+1," ")</f>
        <v/>
      </c>
      <c r="C1007" s="59">
        <f>IF(B1007&lt;&gt;" ",CONCATENATE(A1007,B1007)," ")</f>
        <v/>
      </c>
      <c r="D1007" s="69" t="n"/>
      <c r="E1007" s="72" t="n"/>
      <c r="F1007" s="72" t="n"/>
      <c r="G1007" s="72" t="n"/>
      <c r="H1007" s="72" t="n"/>
      <c r="I1007" s="72" t="n"/>
      <c r="J1007" s="71" t="n"/>
      <c r="K1007" s="73" t="n"/>
    </row>
    <row r="1008">
      <c r="A1008" s="62" t="inlineStr">
        <is>
          <t>P</t>
        </is>
      </c>
      <c r="B1008" s="60">
        <f>IF(D1008&gt;1/1/2001,B1007+1," ")</f>
        <v/>
      </c>
      <c r="C1008" s="59">
        <f>IF(B1008&lt;&gt;" ",CONCATENATE(A1008,B1008)," ")</f>
        <v/>
      </c>
      <c r="D1008" s="69" t="n"/>
      <c r="E1008" s="72" t="n"/>
      <c r="F1008" s="72" t="n"/>
      <c r="G1008" s="72" t="n"/>
      <c r="H1008" s="72" t="n"/>
      <c r="I1008" s="72" t="n"/>
      <c r="J1008" s="71" t="n"/>
      <c r="K1008" s="73" t="n"/>
    </row>
    <row r="1009">
      <c r="A1009" s="62" t="inlineStr">
        <is>
          <t>P</t>
        </is>
      </c>
      <c r="B1009" s="60">
        <f>IF(D1009&gt;1/1/2001,B1008+1," ")</f>
        <v/>
      </c>
      <c r="C1009" s="59">
        <f>IF(B1009&lt;&gt;" ",CONCATENATE(A1009,B1009)," ")</f>
        <v/>
      </c>
      <c r="D1009" s="69" t="n"/>
      <c r="E1009" s="72" t="n"/>
      <c r="F1009" s="72" t="n"/>
      <c r="G1009" s="72" t="n"/>
      <c r="H1009" s="72" t="n"/>
      <c r="I1009" s="72" t="n"/>
      <c r="J1009" s="71" t="n"/>
      <c r="K1009" s="73" t="n"/>
    </row>
    <row r="1010">
      <c r="A1010" s="62" t="inlineStr">
        <is>
          <t>P</t>
        </is>
      </c>
      <c r="B1010" s="60">
        <f>IF(D1010&gt;1/1/2001,B1009+1," ")</f>
        <v/>
      </c>
      <c r="C1010" s="59">
        <f>IF(B1010&lt;&gt;" ",CONCATENATE(A1010,B1010)," ")</f>
        <v/>
      </c>
      <c r="D1010" s="69" t="n"/>
      <c r="E1010" s="72" t="n"/>
      <c r="F1010" s="72" t="n"/>
      <c r="G1010" s="72" t="n"/>
      <c r="H1010" s="72" t="n"/>
      <c r="I1010" s="72" t="n"/>
      <c r="J1010" s="71" t="n"/>
      <c r="K1010" s="73" t="n"/>
    </row>
    <row r="1011">
      <c r="A1011" s="62" t="inlineStr">
        <is>
          <t>P</t>
        </is>
      </c>
      <c r="B1011" s="60">
        <f>IF(D1011&gt;1/1/2001,B1010+1," ")</f>
        <v/>
      </c>
      <c r="C1011" s="59">
        <f>IF(B1011&lt;&gt;" ",CONCATENATE(A1011,B1011)," ")</f>
        <v/>
      </c>
      <c r="D1011" s="69" t="n"/>
      <c r="E1011" s="72" t="n"/>
      <c r="F1011" s="72" t="n"/>
      <c r="G1011" s="72" t="n"/>
      <c r="H1011" s="72" t="n"/>
      <c r="I1011" s="72" t="n"/>
      <c r="J1011" s="71" t="n"/>
      <c r="K1011" s="73" t="n"/>
    </row>
    <row r="1012">
      <c r="A1012" s="62" t="inlineStr">
        <is>
          <t>P</t>
        </is>
      </c>
      <c r="B1012" s="60">
        <f>IF(D1012&gt;1/1/2001,B1011+1," ")</f>
        <v/>
      </c>
      <c r="C1012" s="59">
        <f>IF(B1012&lt;&gt;" ",CONCATENATE(A1012,B1012)," ")</f>
        <v/>
      </c>
      <c r="D1012" s="69" t="n"/>
      <c r="E1012" s="72" t="n"/>
      <c r="F1012" s="72" t="n"/>
      <c r="G1012" s="72" t="n"/>
      <c r="H1012" s="72" t="n"/>
      <c r="I1012" s="72" t="n"/>
      <c r="J1012" s="71" t="n"/>
      <c r="K1012" s="73" t="n"/>
    </row>
    <row r="1013">
      <c r="A1013" s="62" t="inlineStr">
        <is>
          <t>P</t>
        </is>
      </c>
      <c r="B1013" s="60">
        <f>IF(D1013&gt;1/1/2001,B1012+1," ")</f>
        <v/>
      </c>
      <c r="C1013" s="59">
        <f>IF(B1013&lt;&gt;" ",CONCATENATE(A1013,B1013)," ")</f>
        <v/>
      </c>
      <c r="D1013" s="69" t="n"/>
      <c r="E1013" s="72" t="n"/>
      <c r="F1013" s="72" t="n"/>
      <c r="G1013" s="72" t="n"/>
      <c r="H1013" s="72" t="n"/>
      <c r="I1013" s="72" t="n"/>
      <c r="J1013" s="71" t="n"/>
      <c r="K1013" s="73" t="n"/>
    </row>
    <row r="1014">
      <c r="A1014" s="62" t="inlineStr">
        <is>
          <t>P</t>
        </is>
      </c>
      <c r="B1014" s="60">
        <f>IF(D1014&gt;1/1/2001,B1013+1," ")</f>
        <v/>
      </c>
      <c r="C1014" s="59">
        <f>IF(B1014&lt;&gt;" ",CONCATENATE(A1014,B1014)," ")</f>
        <v/>
      </c>
      <c r="D1014" s="69" t="n"/>
      <c r="E1014" s="72" t="n"/>
      <c r="F1014" s="72" t="n"/>
      <c r="G1014" s="72" t="n"/>
      <c r="H1014" s="72" t="n"/>
      <c r="I1014" s="72" t="n"/>
      <c r="J1014" s="71" t="n"/>
      <c r="K1014" s="73" t="n"/>
    </row>
    <row r="1015">
      <c r="A1015" s="62" t="inlineStr">
        <is>
          <t>P</t>
        </is>
      </c>
      <c r="B1015" s="60">
        <f>IF(D1015&gt;1/1/2001,B1014+1," ")</f>
        <v/>
      </c>
      <c r="C1015" s="59">
        <f>IF(B1015&lt;&gt;" ",CONCATENATE(A1015,B1015)," ")</f>
        <v/>
      </c>
      <c r="D1015" s="69" t="n"/>
      <c r="E1015" s="72" t="n"/>
      <c r="F1015" s="72" t="n"/>
      <c r="G1015" s="72" t="n"/>
      <c r="H1015" s="72" t="n"/>
      <c r="I1015" s="72" t="n"/>
      <c r="J1015" s="71" t="n"/>
      <c r="K1015" s="73" t="n"/>
    </row>
    <row r="1016">
      <c r="A1016" s="62" t="inlineStr">
        <is>
          <t>P</t>
        </is>
      </c>
      <c r="B1016" s="60">
        <f>IF(D1016&gt;1/1/2001,B1015+1," ")</f>
        <v/>
      </c>
      <c r="C1016" s="59">
        <f>IF(B1016&lt;&gt;" ",CONCATENATE(A1016,B1016)," ")</f>
        <v/>
      </c>
      <c r="D1016" s="69" t="n"/>
      <c r="E1016" s="72" t="n"/>
      <c r="F1016" s="72" t="n"/>
      <c r="G1016" s="72" t="n"/>
      <c r="H1016" s="72" t="n"/>
      <c r="I1016" s="72" t="n"/>
      <c r="J1016" s="71" t="n"/>
      <c r="K1016" s="73" t="n"/>
    </row>
    <row r="1017">
      <c r="A1017" s="62" t="inlineStr">
        <is>
          <t>P</t>
        </is>
      </c>
      <c r="B1017" s="60">
        <f>IF(D1017&gt;1/1/2001,B1016+1," ")</f>
        <v/>
      </c>
      <c r="C1017" s="59">
        <f>IF(B1017&lt;&gt;" ",CONCATENATE(A1017,B1017)," ")</f>
        <v/>
      </c>
      <c r="D1017" s="69" t="n"/>
      <c r="E1017" s="72" t="n"/>
      <c r="F1017" s="72" t="n"/>
      <c r="G1017" s="72" t="n"/>
      <c r="H1017" s="72" t="n"/>
      <c r="I1017" s="72" t="n"/>
      <c r="J1017" s="71" t="n"/>
      <c r="K1017" s="73" t="n"/>
    </row>
    <row r="1018">
      <c r="A1018" s="62" t="inlineStr">
        <is>
          <t>P</t>
        </is>
      </c>
      <c r="B1018" s="60">
        <f>IF(D1018&gt;1/1/2001,B1017+1," ")</f>
        <v/>
      </c>
      <c r="C1018" s="59">
        <f>IF(B1018&lt;&gt;" ",CONCATENATE(A1018,B1018)," ")</f>
        <v/>
      </c>
      <c r="D1018" s="69" t="n"/>
      <c r="E1018" s="72" t="n"/>
      <c r="F1018" s="72" t="n"/>
      <c r="G1018" s="72" t="n"/>
      <c r="H1018" s="72" t="n"/>
      <c r="I1018" s="72" t="n"/>
      <c r="J1018" s="71" t="n"/>
      <c r="K1018" s="73" t="n"/>
    </row>
    <row r="1019">
      <c r="A1019" s="62" t="inlineStr">
        <is>
          <t>P</t>
        </is>
      </c>
      <c r="B1019" s="60">
        <f>IF(D1019&gt;1/1/2001,B1018+1," ")</f>
        <v/>
      </c>
      <c r="C1019" s="59">
        <f>IF(B1019&lt;&gt;" ",CONCATENATE(A1019,B1019)," ")</f>
        <v/>
      </c>
      <c r="D1019" s="69" t="n"/>
      <c r="E1019" s="72" t="n"/>
      <c r="F1019" s="72" t="n"/>
      <c r="G1019" s="72" t="n"/>
      <c r="H1019" s="72" t="n"/>
      <c r="I1019" s="72" t="n"/>
      <c r="J1019" s="71" t="n"/>
      <c r="K1019" s="73" t="n"/>
    </row>
    <row r="1020">
      <c r="A1020" s="62" t="inlineStr">
        <is>
          <t>P</t>
        </is>
      </c>
      <c r="B1020" s="60">
        <f>IF(D1020&gt;1/1/2001,B1019+1," ")</f>
        <v/>
      </c>
      <c r="C1020" s="59">
        <f>IF(B1020&lt;&gt;" ",CONCATENATE(A1020,B1020)," ")</f>
        <v/>
      </c>
      <c r="D1020" s="69" t="n"/>
      <c r="E1020" s="72" t="n"/>
      <c r="F1020" s="72" t="n"/>
      <c r="G1020" s="72" t="n"/>
      <c r="H1020" s="72" t="n"/>
      <c r="I1020" s="72" t="n"/>
      <c r="J1020" s="71" t="n"/>
      <c r="K1020" s="73" t="n"/>
    </row>
    <row r="1021">
      <c r="A1021" s="62" t="inlineStr">
        <is>
          <t>P</t>
        </is>
      </c>
      <c r="B1021" s="60">
        <f>IF(D1021&gt;1/1/2001,B1020+1," ")</f>
        <v/>
      </c>
      <c r="C1021" s="59">
        <f>IF(B1021&lt;&gt;" ",CONCATENATE(A1021,B1021)," ")</f>
        <v/>
      </c>
      <c r="D1021" s="69" t="n"/>
      <c r="E1021" s="72" t="n"/>
      <c r="F1021" s="72" t="n"/>
      <c r="G1021" s="72" t="n"/>
      <c r="H1021" s="72" t="n"/>
      <c r="I1021" s="72" t="n"/>
      <c r="J1021" s="71" t="n"/>
      <c r="K1021" s="73" t="n"/>
    </row>
    <row r="1022">
      <c r="A1022" s="62" t="inlineStr">
        <is>
          <t>P</t>
        </is>
      </c>
      <c r="B1022" s="60">
        <f>IF(D1022&gt;1/1/2001,B1021+1," ")</f>
        <v/>
      </c>
      <c r="C1022" s="59">
        <f>IF(B1022&lt;&gt;" ",CONCATENATE(A1022,B1022)," ")</f>
        <v/>
      </c>
      <c r="D1022" s="69" t="n"/>
      <c r="E1022" s="72" t="n"/>
      <c r="F1022" s="72" t="n"/>
      <c r="G1022" s="72" t="n"/>
      <c r="H1022" s="72" t="n"/>
      <c r="I1022" s="72" t="n"/>
      <c r="J1022" s="71" t="n"/>
      <c r="K1022" s="73" t="n"/>
    </row>
    <row r="1023">
      <c r="A1023" s="62" t="inlineStr">
        <is>
          <t>P</t>
        </is>
      </c>
      <c r="B1023" s="60">
        <f>IF(D1023&gt;1/1/2001,B1022+1," ")</f>
        <v/>
      </c>
      <c r="C1023" s="59">
        <f>IF(B1023&lt;&gt;" ",CONCATENATE(A1023,B1023)," ")</f>
        <v/>
      </c>
      <c r="D1023" s="69" t="n"/>
      <c r="E1023" s="72" t="n"/>
      <c r="F1023" s="72" t="n"/>
      <c r="G1023" s="72" t="n"/>
      <c r="H1023" s="72" t="n"/>
      <c r="I1023" s="72" t="n"/>
      <c r="J1023" s="71" t="n"/>
      <c r="K1023" s="73" t="n"/>
    </row>
    <row r="1024">
      <c r="A1024" s="62" t="inlineStr">
        <is>
          <t>P</t>
        </is>
      </c>
      <c r="B1024" s="60">
        <f>IF(D1024&gt;1/1/2001,B1023+1," ")</f>
        <v/>
      </c>
      <c r="C1024" s="59">
        <f>IF(B1024&lt;&gt;" ",CONCATENATE(A1024,B1024)," ")</f>
        <v/>
      </c>
      <c r="D1024" s="69" t="n"/>
      <c r="E1024" s="72" t="n"/>
      <c r="F1024" s="72" t="n"/>
      <c r="G1024" s="72" t="n"/>
      <c r="H1024" s="72" t="n"/>
      <c r="I1024" s="72" t="n"/>
      <c r="J1024" s="71" t="n"/>
      <c r="K1024" s="73" t="n"/>
    </row>
    <row r="1025">
      <c r="A1025" s="62" t="inlineStr">
        <is>
          <t>P</t>
        </is>
      </c>
      <c r="B1025" s="60">
        <f>IF(D1025&gt;1/1/2001,B1024+1," ")</f>
        <v/>
      </c>
      <c r="C1025" s="59">
        <f>IF(B1025&lt;&gt;" ",CONCATENATE(A1025,B1025)," ")</f>
        <v/>
      </c>
      <c r="D1025" s="69" t="n"/>
      <c r="E1025" s="72" t="n"/>
      <c r="F1025" s="72" t="n"/>
      <c r="G1025" s="72" t="n"/>
      <c r="H1025" s="72" t="n"/>
      <c r="I1025" s="72" t="n"/>
      <c r="J1025" s="71" t="n"/>
      <c r="K1025" s="73" t="n"/>
    </row>
    <row r="1026">
      <c r="A1026" s="62" t="inlineStr">
        <is>
          <t>P</t>
        </is>
      </c>
      <c r="B1026" s="60">
        <f>IF(D1026&gt;1/1/2001,B1025+1," ")</f>
        <v/>
      </c>
      <c r="C1026" s="59">
        <f>IF(B1026&lt;&gt;" ",CONCATENATE(A1026,B1026)," ")</f>
        <v/>
      </c>
      <c r="D1026" s="69" t="n"/>
      <c r="E1026" s="72" t="n"/>
      <c r="F1026" s="72" t="n"/>
      <c r="G1026" s="72" t="n"/>
      <c r="H1026" s="72" t="n"/>
      <c r="I1026" s="72" t="n"/>
      <c r="J1026" s="71" t="n"/>
      <c r="K1026" s="73" t="n"/>
    </row>
    <row r="1027">
      <c r="C1027" s="59">
        <f>IF(B1027&lt;&gt;" ",CONCATENATE(A1027,B1027)," ")</f>
        <v/>
      </c>
      <c r="D1027" s="69" t="n"/>
      <c r="E1027" s="72" t="n"/>
      <c r="F1027" s="72" t="n"/>
      <c r="G1027" s="72" t="n"/>
      <c r="H1027" s="72" t="n"/>
      <c r="I1027" s="72" t="n"/>
      <c r="J1027" s="71" t="n"/>
      <c r="K1027" s="73" t="n"/>
    </row>
  </sheetData>
  <sheetProtection selectLockedCells="1" selectUnlockedCells="0" algorithmName="SHA-512" sheet="1" objects="1" insertRows="1" insertHyperlinks="1" autoFilter="1" scenarios="1" formatColumns="1" deleteColumns="1" insertColumns="1" pivotTables="1" deleteRows="1" formatCells="1" saltValue="9YNH3WuXqVD4l4uEPh9Lvg==" formatRows="1" sort="1" spinCount="100000" hashValue="lFuj9CtUEHlqhqIKO9ZOmNYII6UP408jc5LEH8jRUZvKDTNuriLKQSimJtyvWHZyHWNxGlLYC2bqiALcND02wQ=="/>
  <autoFilter ref="A1:M1027"/>
  <dataValidations count="2">
    <dataValidation sqref="F1:F1027" showDropDown="0" showInputMessage="1" showErrorMessage="1" allowBlank="1" type="list">
      <formula1>Type</formula1>
    </dataValidation>
    <dataValidation sqref="I1:I1048576" showDropDown="0" showInputMessage="1" showErrorMessage="1" allowBlank="1" type="list">
      <formula1>Rubriques_Charges</formula1>
    </dataValidation>
  </dataValidations>
  <pageMargins left="0.7" right="0.7" top="0.75" bottom="0.75" header="0.3" footer="0.3"/>
</worksheet>
</file>

<file path=xl/worksheets/sheet6.xml><?xml version="1.0" encoding="utf-8"?>
<worksheet xmlns="http://schemas.openxmlformats.org/spreadsheetml/2006/main">
  <sheetPr codeName="Feuil2">
    <tabColor rgb="FFFFFF00"/>
    <outlinePr summaryBelow="1" summaryRight="1"/>
    <pageSetUpPr/>
  </sheetPr>
  <dimension ref="A1:B52"/>
  <sheetViews>
    <sheetView workbookViewId="0">
      <selection activeCell="A75" sqref="A75"/>
    </sheetView>
  </sheetViews>
  <sheetFormatPr baseColWidth="10" defaultRowHeight="14.4"/>
  <cols>
    <col width="177.33203125" customWidth="1" min="1" max="1"/>
  </cols>
  <sheetData>
    <row r="1" ht="22.8" customHeight="1">
      <c r="A1" s="22" t="inlineStr">
        <is>
          <t>Section 7. [447] Comptes de produits (Classe 7)</t>
        </is>
      </c>
      <c r="B1" s="22" t="n"/>
    </row>
    <row r="2" ht="26.4" customHeight="1">
      <c r="A2" s="17" t="inlineStr">
        <is>
          <t>Les produits d'exploitation normale et courante sont enregistrés dans les comptes 70 " Ventes de produits fabriqués, prestations de services, marchandises ", 71 " Production stockée (ou déstockage) ",72 " Production immobilisée ", 74 " Subventions d'exploitation " et 75 " Autres produits de gestion courante ".</t>
        </is>
      </c>
    </row>
    <row r="3">
      <c r="A3" s="17" t="inlineStr">
        <is>
          <t xml:space="preserve">Les produits liés à la gestion financière sont enregistrés dans le compte 76 " Produits financiers ". </t>
        </is>
      </c>
    </row>
    <row r="4">
      <c r="A4" s="17" t="inlineStr">
        <is>
          <t>Les produits relatifs à des opérations exceptionnelles sont enregistrés dans le compte 77 " Produits exceptionnels ".</t>
        </is>
      </c>
    </row>
    <row r="5" ht="26.4" customHeight="1">
      <c r="A5" s="17" t="inlineStr">
        <is>
          <t>Les reprises sur amortissements et provisions sont enregistrées dans le compte 78 " Reprises sur amortissements et provisions " en distinguant les reprises sur charges calculées d'exploitation, financières ou exceptionnelles.</t>
        </is>
      </c>
    </row>
    <row r="6">
      <c r="A6" s="17" t="inlineStr">
        <is>
          <t xml:space="preserve">Les transferts de charges sont enregistrés dans le compte 79 " Transfert de charges ". </t>
        </is>
      </c>
    </row>
    <row r="7" ht="26.4" customHeight="1">
      <c r="A7" s="17" t="inlineStr">
        <is>
          <t>Les produits de la classe 7 sont enregistrés hors taxes collectées. Par exception, les entités, qui enregistrent leurs produits TVA comprise, rétablissent a posteriori leur montant hors taxe collectée en débitant globalement, pour chaque période d'imposition, les comptes de la classe 7 concernés par le crédit du compte 4457 " Taxes sur le chiffre d'affaires collectées par l'entreprise ".</t>
        </is>
      </c>
    </row>
    <row r="8">
      <c r="A8" s="18" t="inlineStr">
        <is>
          <t>Ventes de produits fabriqués, prestations de services, marchandises (comptes 70)</t>
        </is>
      </c>
    </row>
    <row r="9" ht="28.8" customHeight="1">
      <c r="A9" s="19" t="inlineStr">
        <is>
          <t xml:space="preserve">Comme les stocks, les ventes sont classées en fonction d’une nomenclature propre à l’entité dont les modalités d’établissement et la compatibilité avec la nomenclature officielle des biens et services sont identiques à celles déjà énoncées à l’occasion du fonctionnement des comptes de la classe 3 (Stocks et en-cours). </t>
        </is>
      </c>
    </row>
    <row r="10">
      <c r="A10" s="17" t="inlineStr">
        <is>
          <t xml:space="preserve">Des subdivisions des comptes de ventes peuvent être ouvertes pour identifier : </t>
        </is>
      </c>
    </row>
    <row r="11">
      <c r="A11" s="20" t="inlineStr">
        <is>
          <t xml:space="preserve">les ventes en France et à l'étranger ; </t>
        </is>
      </c>
    </row>
    <row r="12">
      <c r="A12" s="20" t="inlineStr">
        <is>
          <t xml:space="preserve">les ventes faites par l'entité à des entités liées ou avec lesquelles elle a un lien de participation ; </t>
        </is>
      </c>
    </row>
    <row r="13">
      <c r="A13" s="20" t="inlineStr">
        <is>
          <t xml:space="preserve">les cessions à prix coûtant. </t>
        </is>
      </c>
    </row>
    <row r="14" ht="26.4" customHeight="1">
      <c r="A14" s="17" t="inlineStr">
        <is>
          <t xml:space="preserve">Les montants des ventes, des prestations de services, des produits afférents aux activités annexes sont enregistrés au crédit des comptes 701 " Ventes de produits finis ", 702 " Ventes de produits intermédiaires ",703 " Ventes de produits résiduels ", 704 " Travaux ", 705 " Etudes ", 706 " Prestations de services ",707 " Ventes de marchandises " et 708 " Produits des activités annexes ". </t>
        </is>
      </c>
    </row>
    <row r="15">
      <c r="A15" s="17" t="inlineStr">
        <is>
          <t>Les rabais, remises et ristournes accordés hors facture ou qui ne sont pas rattachables à une vente déterminée sont portés au débit du compte 709 " Rabais, remises et ristournes accordés par l'entreprise ".</t>
        </is>
      </c>
    </row>
    <row r="16">
      <c r="A16" s="19" t="inlineStr">
        <is>
          <t xml:space="preserve">Même lorsqu'ils sont déduits sur la facture de vente, les escomptes de règlement sont comptabilisés au débit du compte 665 " Escomptes accordés ". </t>
        </is>
      </c>
    </row>
    <row r="17">
      <c r="A17" s="18" t="inlineStr">
        <is>
          <t>Production stockée (ou déstockage) (comptes 71)</t>
        </is>
      </c>
    </row>
    <row r="18" ht="39.6" customHeight="1">
      <c r="A18" s="17" t="inlineStr">
        <is>
          <t xml:space="preserve">Les subdivisions 7133 " Variation des en-cours de production de biens ", 7134 " Variation des en-cours de production de services " et 7135 " Variation des stocks de produits " du compte 713 " Variation des stocks (en-cours de production, produits) " représentent la différence existant entre la valeur de la production stockée à la clôture de l'exercice et la valeur de la production stockée à la clôture de l'exercice précédent, compte non tenu des provisions pour dépréciation. </t>
        </is>
      </c>
    </row>
    <row r="19" ht="26.4" customHeight="1">
      <c r="A19" s="17" t="inlineStr">
        <is>
          <t xml:space="preserve">Ces comptes de variation de stocks sont débités, pour les éléments qui les concernent, de la valeur de la production stockée initiale et crédités de la valeur de la production stockée finale. En conséquence, le solde du compte 71 " Production stockée (ou déstockage) " représente la variation globale de la valeur de la production stockée entre le début et la fin de l'exercice. Il peut être créditeur ou débiteur. </t>
        </is>
      </c>
    </row>
    <row r="20">
      <c r="A20" s="18" t="inlineStr">
        <is>
          <t>Production immobilisée (comptes 72)</t>
        </is>
      </c>
    </row>
    <row r="21" ht="39.6" customHeight="1">
      <c r="A21" s="17" t="inlineStr">
        <is>
          <t>Le compte 72 " Production immobilisée " enregistre le coût des travaux faits par l'entité pour elle-même. Il est crédité soit par le débit du compte 23 " Immobilisations en cours " du coût de production des immobilisations créées par les moyens propres de l'entité au fur et à mesure de la progression des travaux, soit directement par le débit des comptes d'immobilisations intéressés si le transit par le compte 23 ne s'avère pas nécessaire.</t>
        </is>
      </c>
    </row>
    <row r="22">
      <c r="A22" s="18" t="inlineStr">
        <is>
          <t>Subventions d'exploitation (comptes 74)</t>
        </is>
      </c>
    </row>
    <row r="23">
      <c r="A23" s="17" t="inlineStr">
        <is>
          <t xml:space="preserve">Le compte 74 " Subventions d'exploitation " est crédité du montant des subventions d'exploitation acquises à l'entité par le débit du compte de tiers ou de trésorerie intéressé. </t>
        </is>
      </c>
    </row>
    <row r="24">
      <c r="A24" s="18" t="inlineStr">
        <is>
          <t>Autres produits de gestion courante (comptes 75)</t>
        </is>
      </c>
    </row>
    <row r="25" ht="26.4" customHeight="1">
      <c r="A25" s="17" t="inlineStr">
        <is>
          <t>Les redevances acquises pour concessions, brevets, licences, marques, procédés, logiciels, droits et valeurs similaires sont comptabilisées au compte 751 " Redevances pour concessions, brevets, licences, marques, procédés, logiciels, droits et valeurs similaires ".</t>
        </is>
      </c>
    </row>
    <row r="26" ht="26.4" customHeight="1">
      <c r="A26" s="17" t="inlineStr">
        <is>
          <t xml:space="preserve">Le compte 754 " Ristournes perçues des coopératives (provenant des excédents) " enregistre la quote-part des excédents répartis entre les associés coopérateurs au prorata des opérations traitées. Elle est comptabilisée à la date de la décision de l'assemblée générale des associés ayant statué sur la répartition du résultat. </t>
        </is>
      </c>
    </row>
    <row r="27">
      <c r="A27" s="17" t="inlineStr">
        <is>
          <t xml:space="preserve">Le compte 755 " Quote-parts de résultat sur opérations faites en commun " enregistre à son crédit : </t>
        </is>
      </c>
    </row>
    <row r="28" ht="28.8" customHeight="1">
      <c r="A28" s="21" t="inlineStr">
        <is>
          <t xml:space="preserve">la quote-part de résultat sur opérations faites en commun qui représente pour l'entité non gérante sa participation aux bénéfices. En contrepartie, le compte 458 " Associés - Opérations faites en commun et en GIE " est débité ; </t>
        </is>
      </c>
    </row>
    <row r="29">
      <c r="A29" s="21" t="inlineStr">
        <is>
          <t>la quote-part de résultat sur opérations faites en commun qui représente pour l'entité gérante le montant des pertes mises à la charge des associés non gérants. En contrepartie, le compte 458 est débité.</t>
        </is>
      </c>
    </row>
    <row r="30">
      <c r="A30" s="18" t="inlineStr">
        <is>
          <t>Produits financiers (comptes 76)</t>
        </is>
      </c>
    </row>
    <row r="31" ht="26.4" customHeight="1">
      <c r="A31" s="17" t="inlineStr">
        <is>
          <t>Des subdivisions des comptes 761 " Produits de participations ", 762 " Produits des autres immobilisations financières " et éventuellement 763 " Revenus des autres créances " permettent d'identifier les produits concernant des entités liées et provenant de participations ou d'autres immobilisations financières et éventuellement d'autres créances.</t>
        </is>
      </c>
    </row>
    <row r="32">
      <c r="A32" s="17" t="inlineStr">
        <is>
          <t xml:space="preserve">Dans la subdivision " Revenus sur autres formes de participation " du compte 761, est enregistrée la part de résultat bénéficiaire d'un GIE au cours de l'exercice de distribution. </t>
        </is>
      </c>
    </row>
    <row r="33">
      <c r="A33" s="17" t="inlineStr">
        <is>
          <t>Dans la subdivision 7638 " Revenus sur créances diverses ", sont comptabilisés les produits provenant des intérêts courus relatifs à la créance sur l'Etat résultant de la suppression du décalage d'un mois.</t>
        </is>
      </c>
    </row>
    <row r="34">
      <c r="A34" s="17" t="inlineStr">
        <is>
          <t xml:space="preserve">Le compte 765 " Escomptes obtenus " est crédité du montant des escomptes obtenus par l'entité de ses fournisseurs par le débit du compte de tiers intéressé ou d'un compte de trésorerie. </t>
        </is>
      </c>
    </row>
    <row r="35" ht="26.4" customHeight="1">
      <c r="A35" s="17" t="inlineStr">
        <is>
          <t xml:space="preserve">Le compte 766 " Gains de change " est crédité des gains de change réalisés par l'entité au cours de l'exercice. En outre, les écarts de conversion positifs constatés à la fin de l'exercice sur les disponibilités en devises sont considérés comme des gains de change réalisés. </t>
        </is>
      </c>
    </row>
    <row r="36" ht="26.4" customHeight="1">
      <c r="A36" s="17" t="inlineStr">
        <is>
          <t xml:space="preserve">Le compte 767 " Produits nets sur cessions de valeurs mobilières de placement " est débité de la valeur brute des valeurs mobilières de placement cédées. Il est crédité du prix de cession de ces valeurs mobilières de placement. </t>
        </is>
      </c>
    </row>
    <row r="37">
      <c r="A37" s="17" t="inlineStr">
        <is>
          <t xml:space="preserve">Le compte 768 " Autres produits financiers " enregistre, le cas échéant, les revenus tirés des comptes en banque. </t>
        </is>
      </c>
    </row>
    <row r="38">
      <c r="A38" s="18" t="inlineStr">
        <is>
          <t>Produits exceptionnels (comptes 77)</t>
        </is>
      </c>
    </row>
    <row r="39">
      <c r="A39" s="17" t="inlineStr">
        <is>
          <t xml:space="preserve">Les produits exceptionnels sont inscrits au crédit : </t>
        </is>
      </c>
    </row>
    <row r="40">
      <c r="A40" s="20" t="inlineStr">
        <is>
          <t xml:space="preserve">du compte 771 " Produits exceptionnels sur opérations de gestion " lorsqu'ils concernent des opérations de gestion ; </t>
        </is>
      </c>
    </row>
    <row r="41" ht="26.4" customHeight="1">
      <c r="A41" s="20" t="inlineStr">
        <is>
          <t xml:space="preserve">des comptes 775 " Produits des cessions d'éléments d'actifs ", 777 " Quote-part des subventions d'investissement virée au résultat de l'exercice " et 778 " Autres produits exceptionnels " lorsqu'ils concernent les opérations en capital. </t>
        </is>
      </c>
    </row>
    <row r="42">
      <c r="A42" s="17" t="inlineStr">
        <is>
          <t xml:space="preserve">Le compte 775 est crédité du prix des cessions d'éléments d'actifs cédés par le débit du compte de tiers ou de trésorerie intéressé sauf s'il s'agit de TIAP ou de valeurs mobilières de placement. </t>
        </is>
      </c>
    </row>
    <row r="43">
      <c r="A43" s="17" t="inlineStr">
        <is>
          <t xml:space="preserve">Le compte 775 est crédité du prix de cession des TIAP lorsque la cession est génératrice d'un profit. Il est alors débité de la valeur brute de ces titres. </t>
        </is>
      </c>
    </row>
    <row r="44" ht="26.4" customHeight="1">
      <c r="A44" s="17" t="inlineStr">
        <is>
          <t xml:space="preserve">Le prix de cession des valeurs mobilières de placement cédées est viré au crédit du compte 767 " Produits nets sur cessions de valeurs mobilières de placement " ou 667 " Charges nettes sur cessions de valeurs mobilières de placement " selon que la cession est génératrice d'un profit ou d'une perte. </t>
        </is>
      </c>
    </row>
    <row r="45" ht="28.8" customHeight="1">
      <c r="A45" s="19" t="inlineStr">
        <is>
          <t xml:space="preserve">Le compte 777 " Quote-part des subventions d'investissement virée au résultat de l'exercice " enregistre, à son crédit, le montant des subventions d'investissement virées au résultat de l'exercice par le débit du compte139 " Subventions d'investissement inscrites au compte de résultat ". </t>
        </is>
      </c>
    </row>
    <row r="46" ht="26.4" customHeight="1">
      <c r="A46" s="17" t="inlineStr">
        <is>
          <t xml:space="preserve">En cours de période, les entités peuvent utiliser le compte 772 pour enregistrer les produits sur exercices antérieurs à condition de les répartir au moins en fin d'exercice entre les produits d'exploitation et les produits exceptionnels en fonction de leur nature. </t>
        </is>
      </c>
    </row>
    <row r="47">
      <c r="A47" s="18" t="inlineStr">
        <is>
          <t>Reprise sur amortissements et provisions (comptes 78)</t>
        </is>
      </c>
    </row>
    <row r="48" ht="39.6" customHeight="1">
      <c r="A48" s="17" t="inlineStr">
        <is>
          <t>Les comptes 781 " Reprises sur amortissements et provisions (à inscrire dans les produits d'exploitation) ",786 " Reprises sur provisions (à inscrire en produits financiers) " et 787 " Reprises sur provisions (à inscrire en produits exceptionnels) " sont crédités du montant respectif des reprises sur amortissements et provisions par le débit des subdivisions des comptes d'amortissements et des provisions concernés.</t>
        </is>
      </c>
    </row>
    <row r="49" ht="26.4" customHeight="1">
      <c r="A49" s="17" t="inlineStr">
        <is>
          <t xml:space="preserve">Les amortissements dérogatoires sont réintégrés dans le résultat, en fonction de la durée de vie des immobilisations concernées, par le crédit du compte 7872 " Reprises sur provisions réglementées (immobilisations) ". </t>
        </is>
      </c>
    </row>
    <row r="50">
      <c r="A50" s="17" t="inlineStr">
        <is>
          <t xml:space="preserve">Lorsque la charge effective est inférieure à la provision, ces comptes peuvent être subdivisés de façon à permettre de distinguer les reprises qui correspondent aux excédents de provisions. </t>
        </is>
      </c>
    </row>
    <row r="51">
      <c r="A51" s="18" t="inlineStr">
        <is>
          <t>Transferts de charges (comptes 79)</t>
        </is>
      </c>
    </row>
    <row r="52" ht="26.4" customHeight="1">
      <c r="A52" s="17" t="inlineStr">
        <is>
          <t xml:space="preserve">Le compte 79 " Transferts de charges " enregistre les charges d'exploitation, financières et exceptionnelles à transférer soit à un compte de bilan, autre que les comptes d'immobilisations, soit à un autre compte de charges. </t>
        </is>
      </c>
    </row>
  </sheetData>
  <hyperlinks>
    <hyperlink xmlns:r="http://schemas.openxmlformats.org/officeDocument/2006/relationships" ref="A8" display="http://www.plancomptable.com/titre-IV/titre-IV_chapitre-IV_section-7.htm" r:id="rId1"/>
    <hyperlink xmlns:r="http://schemas.openxmlformats.org/officeDocument/2006/relationships" ref="A9" location="classe-3" display="http://www.plancomptable.com/titre-IV/titre-IV_chapitre-III_section-4.htm - classe-3" r:id="rId2"/>
    <hyperlink xmlns:r="http://schemas.openxmlformats.org/officeDocument/2006/relationships" ref="A16" location="665" display="http://www.plancomptable.com/titre-IV/titre-IV_chapitre-IV_section-6.htm - 665" r:id="rId3"/>
    <hyperlink xmlns:r="http://schemas.openxmlformats.org/officeDocument/2006/relationships" ref="A17" display="http://www.plancomptable.com/titre-IV/titre-IV_chapitre-IV_section-7.htm" r:id="rId4"/>
    <hyperlink xmlns:r="http://schemas.openxmlformats.org/officeDocument/2006/relationships" ref="A20" display="http://www.plancomptable.com/titre-IV/titre-IV_chapitre-IV_section-7.htm" r:id="rId5"/>
    <hyperlink xmlns:r="http://schemas.openxmlformats.org/officeDocument/2006/relationships" ref="A22" display="http://www.plancomptable.com/titre-IV/titre-IV_chapitre-IV_section-7.htm" r:id="rId6"/>
    <hyperlink xmlns:r="http://schemas.openxmlformats.org/officeDocument/2006/relationships" ref="A24" display="http://www.plancomptable.com/titre-IV/titre-IV_chapitre-IV_section-7.htm" r:id="rId7"/>
    <hyperlink xmlns:r="http://schemas.openxmlformats.org/officeDocument/2006/relationships" ref="A28" location="458" display="http://www.plancomptable.com/titre-IV/titre-IV_chapitre-IV_section-4.htm - 458" r:id="rId8"/>
    <hyperlink xmlns:r="http://schemas.openxmlformats.org/officeDocument/2006/relationships" ref="A29" location="458" display="http://www.plancomptable.com/titre-IV/titre-IV_chapitre-IV_section-4.htm - 458" r:id="rId9"/>
    <hyperlink xmlns:r="http://schemas.openxmlformats.org/officeDocument/2006/relationships" ref="A30" display="http://www.plancomptable.com/titre-IV/titre-IV_chapitre-IV_section-7.htm" r:id="rId10"/>
    <hyperlink xmlns:r="http://schemas.openxmlformats.org/officeDocument/2006/relationships" ref="A38" display="http://www.plancomptable.com/titre-IV/titre-IV_chapitre-IV_section-7.htm" r:id="rId11"/>
    <hyperlink xmlns:r="http://schemas.openxmlformats.org/officeDocument/2006/relationships" ref="A45" location="139" display="http://www.plancomptable.com/titre-IV/titre-IV_chapitre-IV_section-1.htm - 139" r:id="rId12"/>
    <hyperlink xmlns:r="http://schemas.openxmlformats.org/officeDocument/2006/relationships" ref="A47" display="http://www.plancomptable.com/titre-IV/titre-IV_chapitre-IV_section-7.htm" r:id="rId13"/>
    <hyperlink xmlns:r="http://schemas.openxmlformats.org/officeDocument/2006/relationships" ref="A51" display="http://www.plancomptable.com/titre-IV/titre-IV_chapitre-IV_section-7.htm" r:id="rId1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47"/>
  <sheetViews>
    <sheetView topLeftCell="B10" zoomScale="80" zoomScaleNormal="80" zoomScalePageLayoutView="80" workbookViewId="0">
      <selection activeCell="C31" sqref="C31"/>
    </sheetView>
  </sheetViews>
  <sheetFormatPr baseColWidth="10" defaultRowHeight="14.4"/>
  <cols>
    <col width="56.44140625" bestFit="1" customWidth="1" min="1" max="1"/>
    <col width="46.6640625" bestFit="1" customWidth="1" min="3" max="3"/>
    <col width="35.88671875" bestFit="1" customWidth="1" min="4" max="4"/>
    <col width="39.109375" bestFit="1" customWidth="1" min="5" max="5"/>
    <col width="38.33203125" bestFit="1" customWidth="1" min="6" max="6"/>
    <col width="25.109375" bestFit="1" customWidth="1" min="7" max="7"/>
    <col width="34.88671875" bestFit="1" customWidth="1" min="8" max="8"/>
    <col width="38.6640625" bestFit="1" customWidth="1" min="9" max="9"/>
    <col width="37.88671875" bestFit="1" customWidth="1" min="10" max="10"/>
    <col width="47" bestFit="1" customWidth="1" min="11" max="11"/>
    <col width="36.6640625" bestFit="1" customWidth="1" min="12" max="13"/>
  </cols>
  <sheetData>
    <row r="1" ht="15" customHeight="1" thickBot="1">
      <c r="A1" s="24" t="inlineStr">
        <is>
          <t>Achats</t>
        </is>
      </c>
      <c r="C1" s="36" t="inlineStr">
        <is>
          <t>Chèque</t>
        </is>
      </c>
    </row>
    <row r="2" ht="15" customHeight="1" thickBot="1">
      <c r="A2" s="24" t="inlineStr">
        <is>
          <t>Charges</t>
        </is>
      </c>
      <c r="C2" s="36" t="inlineStr">
        <is>
          <t>Carte Bancaire</t>
        </is>
      </c>
      <c r="D2">
        <f>OFFSET(E7,0,VLOOKUP(#REF!,A14:C22,2)-1,VLOOKUP(#REF!,A14:C22,3),1)</f>
        <v/>
      </c>
    </row>
    <row r="3" ht="15" customHeight="1" thickBot="1">
      <c r="A3" s="25" t="inlineStr">
        <is>
          <t>Impôts, Taxes et versements assimilés</t>
        </is>
      </c>
      <c r="C3" s="36" t="inlineStr">
        <is>
          <t>Espèces</t>
        </is>
      </c>
    </row>
    <row r="4" ht="15" customHeight="1" thickBot="1">
      <c r="A4" s="25" t="inlineStr">
        <is>
          <t>Charges de personnel</t>
        </is>
      </c>
      <c r="C4" s="36" t="inlineStr">
        <is>
          <t>Dépôt Chèque</t>
        </is>
      </c>
    </row>
    <row r="5" ht="15" customHeight="1" thickBot="1">
      <c r="A5" s="25" t="inlineStr">
        <is>
          <t>Autres charges de gestion courante</t>
        </is>
      </c>
      <c r="C5" s="36" t="inlineStr">
        <is>
          <t>Dépôt Espèces</t>
        </is>
      </c>
    </row>
    <row r="6" ht="15" customHeight="1" thickBot="1">
      <c r="A6" s="25" t="inlineStr">
        <is>
          <t>Charges financières(intérêts, agios, …)</t>
        </is>
      </c>
      <c r="C6" s="36" t="inlineStr">
        <is>
          <t>DAB (retrait espèces)</t>
        </is>
      </c>
      <c r="E6" s="24" t="inlineStr">
        <is>
          <t>Achats</t>
        </is>
      </c>
      <c r="F6" s="24" t="inlineStr">
        <is>
          <t>Charges</t>
        </is>
      </c>
      <c r="G6" s="25" t="inlineStr">
        <is>
          <t>Impôts, Taxes et versements assimilés</t>
        </is>
      </c>
      <c r="H6" s="25" t="inlineStr">
        <is>
          <t>Charges de personnel</t>
        </is>
      </c>
      <c r="I6" s="25" t="inlineStr">
        <is>
          <t>Autres charges de gestion courante</t>
        </is>
      </c>
      <c r="J6" s="25" t="inlineStr">
        <is>
          <t>Charges financières(intérêts, agios, …)</t>
        </is>
      </c>
      <c r="K6" s="25" t="inlineStr">
        <is>
          <t>Charges exceptionnelles (amendes,…)</t>
        </is>
      </c>
      <c r="L6" s="25" t="inlineStr">
        <is>
          <t>Dotations aux amortissements et aux provisions</t>
        </is>
      </c>
      <c r="M6" s="25" t="inlineStr">
        <is>
          <t>Impots  sur les bénéfices et assimilés</t>
        </is>
      </c>
    </row>
    <row r="7" ht="15" customHeight="1" thickBot="1">
      <c r="A7" s="25" t="inlineStr">
        <is>
          <t>Charges exceptionnelles (amendes,…)</t>
        </is>
      </c>
      <c r="C7" s="36" t="inlineStr">
        <is>
          <t>Prélèvement</t>
        </is>
      </c>
      <c r="E7" s="6" t="inlineStr">
        <is>
          <t>Achats d'études et prestations de service</t>
        </is>
      </c>
      <c r="F7" s="6" t="inlineStr">
        <is>
          <t>Locations</t>
        </is>
      </c>
      <c r="G7" s="4" t="inlineStr">
        <is>
          <t>Impôts, Taxes et versements assimilés</t>
        </is>
      </c>
      <c r="H7" s="6" t="inlineStr">
        <is>
          <t>Rémunération du personnel (Salaires)</t>
        </is>
      </c>
      <c r="I7" s="6" t="inlineStr">
        <is>
          <t>Autres charges de gestion courante</t>
        </is>
      </c>
      <c r="J7" s="6" t="inlineStr">
        <is>
          <t>Charges financières(intérêts, agios, …)</t>
        </is>
      </c>
      <c r="K7" s="6" t="inlineStr">
        <is>
          <t>Charges exceptionnelles (amendes,…)</t>
        </is>
      </c>
      <c r="L7" s="6" t="inlineStr">
        <is>
          <t>Dotations aux amortissements et aux provisions</t>
        </is>
      </c>
      <c r="M7" s="6" t="inlineStr">
        <is>
          <t>Impots  sur les bénéfices et assimilés</t>
        </is>
      </c>
    </row>
    <row r="8" ht="28.8" customHeight="1" thickBot="1">
      <c r="A8" s="25" t="inlineStr">
        <is>
          <t>Dotations aux amortissements et aux provisions</t>
        </is>
      </c>
      <c r="C8" s="36" t="inlineStr">
        <is>
          <t>TIP</t>
        </is>
      </c>
      <c r="E8" s="3" t="inlineStr">
        <is>
          <t>Achats alimentaires</t>
        </is>
      </c>
      <c r="F8" s="3" t="inlineStr">
        <is>
          <t>Achats Petits équipements (mobilier, matériel)</t>
        </is>
      </c>
      <c r="H8" s="35" t="inlineStr">
        <is>
          <t>Charges sociales et autres charges de personnel</t>
        </is>
      </c>
      <c r="I8" s="3" t="inlineStr">
        <is>
          <t>Fédération Réaffiliation section</t>
        </is>
      </c>
      <c r="J8" s="6" t="n"/>
    </row>
    <row r="9" ht="15" customHeight="1" thickBot="1">
      <c r="A9" s="25" t="inlineStr">
        <is>
          <t>Impots  sur les bénéfices et assimilés</t>
        </is>
      </c>
      <c r="C9" s="36" t="inlineStr">
        <is>
          <t>Télépaiement</t>
        </is>
      </c>
      <c r="E9" s="3" t="inlineStr">
        <is>
          <t>Achats matériels et équipements sportifs</t>
        </is>
      </c>
      <c r="F9" s="6" t="inlineStr">
        <is>
          <t>Location Salle</t>
        </is>
      </c>
      <c r="H9" s="3" t="inlineStr">
        <is>
          <t>Forfait Accompagnateur</t>
        </is>
      </c>
      <c r="I9" s="3" t="inlineStr">
        <is>
          <t>Fédération Licences</t>
        </is>
      </c>
    </row>
    <row r="10">
      <c r="C10" s="36" t="inlineStr">
        <is>
          <t>Virement émis</t>
        </is>
      </c>
      <c r="E10" s="3" t="inlineStr">
        <is>
          <t>Achats tenues sportives</t>
        </is>
      </c>
      <c r="F10" s="143" t="inlineStr">
        <is>
          <t>Entretien et travaux</t>
        </is>
      </c>
      <c r="H10" s="3" t="inlineStr">
        <is>
          <t>Reversion USO</t>
        </is>
      </c>
      <c r="I10" s="3" t="inlineStr">
        <is>
          <t>Fédération Engagements équipes</t>
        </is>
      </c>
    </row>
    <row r="11">
      <c r="C11" s="36" t="inlineStr">
        <is>
          <t>Virement reçu</t>
        </is>
      </c>
      <c r="E11" s="3" t="inlineStr">
        <is>
          <t>Electricité, eau, gaz, combustibles</t>
        </is>
      </c>
      <c r="F11" s="3" t="inlineStr">
        <is>
          <t>Assurance</t>
        </is>
      </c>
      <c r="H11" s="3" t="inlineStr">
        <is>
          <t>Formation personnel</t>
        </is>
      </c>
      <c r="I11" s="3" t="inlineStr">
        <is>
          <t>Fédération Arbitrage</t>
        </is>
      </c>
    </row>
    <row r="12">
      <c r="C12" s="36" t="inlineStr">
        <is>
          <t>Autres</t>
        </is>
      </c>
      <c r="E12" s="7" t="inlineStr">
        <is>
          <t>Autres achats</t>
        </is>
      </c>
      <c r="F12" s="3" t="inlineStr">
        <is>
          <t>Documentation</t>
        </is>
      </c>
      <c r="H12" s="3" t="inlineStr">
        <is>
          <t>Salaires versés par l'USO</t>
        </is>
      </c>
    </row>
    <row r="13" ht="15" customHeight="1" thickBot="1">
      <c r="A13" t="inlineStr">
        <is>
          <t>Rubriques pour colonnes</t>
        </is>
      </c>
      <c r="B13" t="inlineStr">
        <is>
          <t>N° colonne</t>
        </is>
      </c>
      <c r="C13" t="inlineStr">
        <is>
          <t>Nbre de valeurs</t>
        </is>
      </c>
      <c r="E13" s="7" t="n"/>
      <c r="F13" s="7" t="inlineStr">
        <is>
          <t>Fournitures de bureau</t>
        </is>
      </c>
    </row>
    <row r="14" ht="15" customHeight="1" thickBot="1">
      <c r="A14" s="24" t="inlineStr">
        <is>
          <t>Achats</t>
        </is>
      </c>
      <c r="B14" t="n">
        <v>1</v>
      </c>
      <c r="C14" t="n">
        <v>6</v>
      </c>
      <c r="F14" s="3" t="inlineStr">
        <is>
          <t>Rémunération personnel extérieur, honoraire</t>
        </is>
      </c>
    </row>
    <row r="15" ht="15" customHeight="1" thickBot="1">
      <c r="A15" s="24" t="inlineStr">
        <is>
          <t>Charges</t>
        </is>
      </c>
      <c r="B15" t="n">
        <v>2</v>
      </c>
      <c r="C15" t="n">
        <v>17</v>
      </c>
      <c r="F15" s="3" t="inlineStr">
        <is>
          <t>Publicité</t>
        </is>
      </c>
    </row>
    <row r="16" ht="15" customHeight="1" thickBot="1">
      <c r="A16" s="25" t="inlineStr">
        <is>
          <t>Impôts, Taxes et versements assimilés</t>
        </is>
      </c>
      <c r="B16" t="n">
        <v>3</v>
      </c>
      <c r="C16" t="n">
        <v>1</v>
      </c>
      <c r="F16" s="3" t="inlineStr">
        <is>
          <t>Cadeaux</t>
        </is>
      </c>
    </row>
    <row r="17" ht="15" customHeight="1" thickBot="1">
      <c r="A17" s="25" t="inlineStr">
        <is>
          <t>Charges de personnel</t>
        </is>
      </c>
      <c r="B17" t="n">
        <v>4</v>
      </c>
      <c r="C17" t="n">
        <v>6</v>
      </c>
      <c r="F17" s="143" t="inlineStr">
        <is>
          <t>Déplacements - Missions Collectif</t>
        </is>
      </c>
      <c r="H17" s="6" t="n"/>
    </row>
    <row r="18" ht="15" customHeight="1" thickBot="1">
      <c r="A18" s="25" t="inlineStr">
        <is>
          <t>Autres charges de gestion courante</t>
        </is>
      </c>
      <c r="B18" t="n">
        <v>5</v>
      </c>
      <c r="C18" t="n">
        <v>5</v>
      </c>
      <c r="F18" s="3" t="inlineStr">
        <is>
          <t>Déplacements - Missions Bureau</t>
        </is>
      </c>
    </row>
    <row r="19" ht="15" customHeight="1" thickBot="1">
      <c r="A19" s="25" t="inlineStr">
        <is>
          <t>Charges financières(intérêts, agios, …)</t>
        </is>
      </c>
      <c r="B19" t="n">
        <v>6</v>
      </c>
      <c r="C19" t="n">
        <v>1</v>
      </c>
      <c r="F19" s="3" t="inlineStr">
        <is>
          <t>Réceptions Bureau</t>
        </is>
      </c>
    </row>
    <row r="20" ht="15" customHeight="1" thickBot="1">
      <c r="A20" s="25" t="inlineStr">
        <is>
          <t>Charges exceptionnelles (amendes,…)</t>
        </is>
      </c>
      <c r="B20" t="n">
        <v>7</v>
      </c>
      <c r="C20" t="n">
        <v>1</v>
      </c>
      <c r="F20" s="3" t="inlineStr">
        <is>
          <t>Inscriptions Tournois</t>
        </is>
      </c>
    </row>
    <row r="21" ht="15" customHeight="1" thickBot="1">
      <c r="A21" s="25" t="inlineStr">
        <is>
          <t>Dotations aux amortissements et aux provisions</t>
        </is>
      </c>
      <c r="B21" t="n">
        <v>8</v>
      </c>
      <c r="C21" t="n">
        <v>1</v>
      </c>
      <c r="F21" s="3" t="inlineStr">
        <is>
          <t>Frais postaux</t>
        </is>
      </c>
    </row>
    <row r="22" ht="15" customHeight="1" thickBot="1">
      <c r="A22" s="25" t="inlineStr">
        <is>
          <t>Impots  sur les bénéfices et assimilés</t>
        </is>
      </c>
      <c r="B22" t="n">
        <v>9</v>
      </c>
      <c r="C22" t="n">
        <v>1</v>
      </c>
      <c r="F22" s="3" t="inlineStr">
        <is>
          <t>Télécom (téléphone/Internet)</t>
        </is>
      </c>
    </row>
    <row r="23">
      <c r="F23" s="2" t="inlineStr">
        <is>
          <t>Frais bancaires</t>
        </is>
      </c>
    </row>
    <row r="24">
      <c r="C24" s="3" t="n"/>
    </row>
    <row r="25">
      <c r="C25" s="3" t="n"/>
    </row>
    <row r="26">
      <c r="C26" s="3" t="n"/>
    </row>
    <row r="27">
      <c r="C27" s="3" t="n"/>
    </row>
    <row r="28" ht="15" customHeight="1" thickBot="1">
      <c r="C28" s="143" t="n"/>
      <c r="F28" s="143" t="n"/>
    </row>
    <row r="29" ht="15" customHeight="1" thickBot="1">
      <c r="A29" t="inlineStr">
        <is>
          <t>Rubriques pour colonnes</t>
        </is>
      </c>
      <c r="B29" t="inlineStr">
        <is>
          <t>N° colonne</t>
        </is>
      </c>
      <c r="C29" t="inlineStr">
        <is>
          <t>Nbre de valeurs</t>
        </is>
      </c>
      <c r="E29" s="24" t="inlineStr">
        <is>
          <t>Ventes de produits, marchandises, prestations de services</t>
        </is>
      </c>
      <c r="F29" s="24" t="inlineStr">
        <is>
          <t>Subventions d'exploitation</t>
        </is>
      </c>
      <c r="G29" s="24" t="inlineStr">
        <is>
          <t>Autres produits de gestion courante</t>
        </is>
      </c>
      <c r="H29" s="24" t="inlineStr">
        <is>
          <t>Produits financiers</t>
        </is>
      </c>
      <c r="I29" s="24" t="inlineStr">
        <is>
          <t>Produits exceptionnels</t>
        </is>
      </c>
      <c r="J29" s="24" t="inlineStr">
        <is>
          <t>Reprises sur amortissemenet et provision</t>
        </is>
      </c>
      <c r="K29" s="24" t="inlineStr">
        <is>
          <t>Transferts de charges</t>
        </is>
      </c>
    </row>
    <row r="30" ht="15" customHeight="1" thickBot="1">
      <c r="A30" s="24" t="inlineStr">
        <is>
          <t>Ventes de produits, marchandises, prestations de services</t>
        </is>
      </c>
      <c r="B30" t="n">
        <v>1</v>
      </c>
      <c r="C30" t="n">
        <v>7</v>
      </c>
      <c r="E30" s="33" t="inlineStr">
        <is>
          <t>Prestations de service</t>
        </is>
      </c>
      <c r="F30" s="6" t="inlineStr">
        <is>
          <t>Etat</t>
        </is>
      </c>
      <c r="G30" s="2" t="inlineStr">
        <is>
          <t>Cotisations des adhérents</t>
        </is>
      </c>
      <c r="H30" s="15" t="inlineStr">
        <is>
          <t>Produits financiers</t>
        </is>
      </c>
      <c r="I30" s="14" t="inlineStr">
        <is>
          <t>Produits exceptionnels</t>
        </is>
      </c>
      <c r="J30" s="14" t="inlineStr">
        <is>
          <t>Reprises sur amortissemenet et provision</t>
        </is>
      </c>
      <c r="K30" s="14" t="inlineStr">
        <is>
          <t>Salaires</t>
        </is>
      </c>
    </row>
    <row r="31" ht="15" customHeight="1" thickBot="1">
      <c r="A31" s="24" t="inlineStr">
        <is>
          <t>Subventions d'exploitation</t>
        </is>
      </c>
      <c r="B31" t="n">
        <v>2</v>
      </c>
      <c r="C31" t="n">
        <v>10</v>
      </c>
      <c r="E31" s="39" t="inlineStr">
        <is>
          <t>Ventes  de marchandises (buvette…)</t>
        </is>
      </c>
      <c r="F31" s="3" t="inlineStr">
        <is>
          <t>ANS (Ex CNDS)</t>
        </is>
      </c>
      <c r="G31" s="5" t="inlineStr">
        <is>
          <t>Autres produits</t>
        </is>
      </c>
    </row>
    <row r="32" ht="15" customHeight="1" thickBot="1">
      <c r="A32" s="24" t="inlineStr">
        <is>
          <t>Autres produits de gestion courante</t>
        </is>
      </c>
      <c r="B32" t="n">
        <v>3</v>
      </c>
      <c r="C32" t="n">
        <v>3</v>
      </c>
      <c r="E32" s="39" t="inlineStr">
        <is>
          <t>Ventes produits</t>
        </is>
      </c>
      <c r="F32" s="3" t="inlineStr">
        <is>
          <t>Conseil Régional</t>
        </is>
      </c>
      <c r="G32" s="5" t="inlineStr">
        <is>
          <t>Cotisation des adhérents N+1</t>
        </is>
      </c>
    </row>
    <row r="33" ht="15" customHeight="1" thickBot="1">
      <c r="A33" s="24" t="inlineStr">
        <is>
          <t>Produits financiers</t>
        </is>
      </c>
      <c r="B33" t="n">
        <v>4</v>
      </c>
      <c r="C33" t="n">
        <v>1</v>
      </c>
      <c r="E33" s="39" t="inlineStr">
        <is>
          <t>Produits des activités annexes</t>
        </is>
      </c>
      <c r="F33" s="3" t="inlineStr">
        <is>
          <t>Conseil Départemental</t>
        </is>
      </c>
    </row>
    <row r="34" ht="15" customHeight="1" thickBot="1">
      <c r="A34" s="24" t="inlineStr">
        <is>
          <t>Produits exceptionnels</t>
        </is>
      </c>
      <c r="B34" t="n">
        <v>5</v>
      </c>
      <c r="C34" t="n">
        <v>1</v>
      </c>
      <c r="E34" s="39" t="inlineStr">
        <is>
          <t>Prestations de service pour autres organismes publics</t>
        </is>
      </c>
      <c r="F34" s="3" t="inlineStr">
        <is>
          <t>Commune</t>
        </is>
      </c>
    </row>
    <row r="35" ht="15" customHeight="1" thickBot="1">
      <c r="A35" s="24" t="inlineStr">
        <is>
          <t>Reprises sur amortissemenet et provision</t>
        </is>
      </c>
      <c r="B35" t="n">
        <v>6</v>
      </c>
      <c r="C35" t="n">
        <v>1</v>
      </c>
      <c r="E35" s="33" t="inlineStr">
        <is>
          <t>Vente équipements sportifs</t>
        </is>
      </c>
      <c r="F35" s="3" t="inlineStr">
        <is>
          <t>USO</t>
        </is>
      </c>
    </row>
    <row r="36" ht="15" customHeight="1" thickBot="1">
      <c r="A36" s="24" t="inlineStr">
        <is>
          <t>Transferts de charges</t>
        </is>
      </c>
      <c r="B36" t="n">
        <v>7</v>
      </c>
      <c r="C36" t="n">
        <v>1</v>
      </c>
      <c r="E36" s="39" t="inlineStr">
        <is>
          <t>Sponsors</t>
        </is>
      </c>
      <c r="F36" s="3" t="inlineStr">
        <is>
          <t>Salaires versés par l'USO</t>
        </is>
      </c>
    </row>
    <row r="37">
      <c r="E37" s="2" t="n"/>
      <c r="F37" s="2" t="inlineStr">
        <is>
          <t>Subvention Fédération</t>
        </is>
      </c>
    </row>
    <row r="38">
      <c r="E38" s="2" t="n"/>
      <c r="F38" s="3" t="inlineStr">
        <is>
          <t>Autres (préciser)</t>
        </is>
      </c>
    </row>
    <row r="39">
      <c r="E39" s="2" t="n"/>
    </row>
    <row r="40">
      <c r="E40" s="2" t="n"/>
    </row>
    <row r="41">
      <c r="E41" s="2" t="n"/>
    </row>
    <row r="42">
      <c r="E42" s="2" t="n"/>
    </row>
    <row r="43">
      <c r="E43" s="2" t="n"/>
    </row>
    <row r="44">
      <c r="E44" s="2" t="n"/>
    </row>
    <row r="45" ht="15" customHeight="1" thickBot="1">
      <c r="E45" s="2" t="n"/>
    </row>
    <row r="46">
      <c r="E46" s="30" t="n"/>
    </row>
    <row r="47" ht="15" customHeight="1" thickBot="1">
      <c r="E47" s="4"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ambre</dc:creator>
  <dcterms:created xmlns:dcterms="http://purl.org/dc/terms/" xmlns:xsi="http://www.w3.org/2001/XMLSchema-instance" xsi:type="dcterms:W3CDTF">2015-01-24T09:45:25Z</dcterms:created>
  <dcterms:modified xmlns:dcterms="http://purl.org/dc/terms/" xmlns:xsi="http://www.w3.org/2001/XMLSchema-instance" xsi:type="dcterms:W3CDTF">2026-06-16T14:27:01Z</dcterms:modified>
  <cp:lastModifiedBy>Gilles ETIENNE</cp:lastModifiedBy>
  <cp:lastPrinted>2017-09-10T15:59:49Z</cp:lastPrinted>
</cp:coreProperties>
</file>